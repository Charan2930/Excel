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301" documentId="13_ncr:1_{EDF3DC55-67A2-404C-9FFA-38794811F8F5}" xr6:coauthVersionLast="47" xr6:coauthVersionMax="47" xr10:uidLastSave="{C53C05AE-5CAD-4F3E-A9DC-E17DE4EBDB7B}"/>
  <bookViews>
    <workbookView xWindow="28680" yWindow="-120" windowWidth="29040" windowHeight="15720" tabRatio="680" activeTab="2" xr2:uid="{00000000-000D-0000-FFFF-FFFF00000000}"/>
  </bookViews>
  <sheets>
    <sheet name="Cover Page" sheetId="17" r:id="rId1"/>
    <sheet name="Methodology" sheetId="9" r:id="rId2"/>
    <sheet name=" Design - Storm water Drains" sheetId="7" r:id="rId3"/>
    <sheet name="Design-HDPE pipe" sheetId="18" r:id="rId4"/>
    <sheet name="Storm water calc - Rational" sheetId="10" state="hidden" r:id="rId5"/>
    <sheet name="info" sheetId="15" r:id="rId6"/>
  </sheets>
  <externalReferences>
    <externalReference r:id="rId7"/>
    <externalReference r:id="rId8"/>
    <externalReference r:id="rId9"/>
    <externalReference r:id="rId10"/>
  </externalReferences>
  <definedNames>
    <definedName name="__xlnm.Print_Area_2" localSheetId="4">#REF!</definedName>
    <definedName name="__xlnm.Print_Area_2">#REF!</definedName>
    <definedName name="__xlnm.Print_Area_3" localSheetId="4">#REF!</definedName>
    <definedName name="__xlnm.Print_Area_3">#REF!</definedName>
    <definedName name="__xlnm.Print_Area_4" localSheetId="4">#REF!</definedName>
    <definedName name="__xlnm.Print_Area_4">#REF!</definedName>
    <definedName name="__xlnm.Print_Titles_1" localSheetId="4">#REF!</definedName>
    <definedName name="__xlnm.Print_Titles_1">#REF!</definedName>
    <definedName name="_123" localSheetId="4">#REF!</definedName>
    <definedName name="_123">#REF!</definedName>
    <definedName name="_xlnm._FilterDatabase" localSheetId="2" hidden="1">' Design - Storm water Drains'!$Z$1:$AB$117</definedName>
    <definedName name="b" localSheetId="4">#REF!</definedName>
    <definedName name="b">#REF!</definedName>
    <definedName name="Compressor" localSheetId="4">#REF!</definedName>
    <definedName name="Compressor">#REF!</definedName>
    <definedName name="d" localSheetId="4">#REF!</definedName>
    <definedName name="d">#REF!</definedName>
    <definedName name="dsd" localSheetId="4">#REF!</definedName>
    <definedName name="dsd">#REF!</definedName>
    <definedName name="EFB">[1]CALCULATIONS!$BC$87:$BC$88</definedName>
    <definedName name="FM" localSheetId="1">Methodology!#REF!</definedName>
    <definedName name="FM" localSheetId="4">#REF!</definedName>
    <definedName name="FM">#REF!</definedName>
    <definedName name="Ftype" localSheetId="1">Methodology!#REF!</definedName>
    <definedName name="Ftype" localSheetId="4">#REF!</definedName>
    <definedName name="Ftype">#REF!</definedName>
    <definedName name="HM_Plant_Size" localSheetId="4">#REF!</definedName>
    <definedName name="HM_Plant_Size">#REF!</definedName>
    <definedName name="image" localSheetId="1">IF(Methodology!#REF!="Cone",INDIRECT("'+Sheet1!$A$3"),IF(Methodology!#REF!="Cell",INDIRECT("'+Sheet1!$A$2"),IF(Methodology!#REF!="Arch(Single unit)",INDIRECT("'+Sheet1!$A$1"),INDIRECT("'+Sheet1!$A$4"))))</definedName>
    <definedName name="image" localSheetId="4">IF(#REF!="Cone",INDIRECT("'+Sheet1!$A$3"),IF(#REF!="Cell",INDIRECT("'+Sheet1!$A$2"),IF(#REF!="Arch(Single unit)",INDIRECT("'+Sheet1!$A$1"),INDIRECT("'+Sheet1!$A$4"))))</definedName>
    <definedName name="image">IF(#REF!="Cone",INDIRECT("'+Sheet1!$A$3"),IF(#REF!="Cell",INDIRECT("'+Sheet1!$A$2"),IF(#REF!="Arch(Single unit)",INDIRECT("'+Sheet1!$A$1"),INDIRECT("'+Sheet1!$A$4"))))</definedName>
    <definedName name="image1" localSheetId="1">IF(Methodology!#REF!="Cone",#REF!,IF( Methodology!#REF!="Cell",#REF!,IF( Methodology!#REF!="Arch(Single unit)",#REF!,#REF!)))</definedName>
    <definedName name="image1" localSheetId="4">IF(#REF!="Cone",#REF!,IF(#REF!= "Cell",#REF!,IF(#REF!= "Arch(Single unit)",#REF!,#REF!)))</definedName>
    <definedName name="image1">IF(#REF!="Cone",#REF!,IF(#REF!= "Cell",#REF!,IF(#REF!= "Arch(Single unit)",#REF!,#REF!)))</definedName>
    <definedName name="image2" localSheetId="1">IF(Methodology!#REF!=Methodology!#REF!,[2]img!$A$1,IF(Methodology!#REF!=Methodology!#REF!,[2]img!$A$2,IF(Methodology!#REF!=Methodology!#REF!,[2]img!$A$3,IF(Methodology!#REF!=Methodology!#REF!,[2]img!$A$4,IF(Methodology!#REF!=Methodology!#REF!,[2]img!$A$5,IF(Methodology!#REF!=Methodology!#REF!,[2]img!$A$6,[2]img!$A$7))))))</definedName>
    <definedName name="image2" localSheetId="4">IF(#REF!=#REF!,[3]img!$A$1,IF(#REF!=#REF!,[3]img!$A$2,IF(#REF!=#REF!,[3]img!$A$3,IF(#REF!=#REF!,[3]img!$A$4,IF(#REF!=#REF!,[3]img!$A$5,IF(#REF!=#REF!,[3]img!$A$6,[3]img!$A$7))))))</definedName>
    <definedName name="image2">IF(#REF!=#REF!,[2]img!$A$1,IF(#REF!=#REF!,[2]img!$A$2,IF(#REF!=#REF!,[2]img!$A$3,IF(#REF!=#REF!,[2]img!$A$4,IF(#REF!=#REF!,[2]img!$A$5,IF(#REF!=#REF!,[2]img!$A$6,[2]img!$A$7))))))</definedName>
    <definedName name="Inherent_Moisture" localSheetId="4">#REF!</definedName>
    <definedName name="Inherent_Moisture">#REF!</definedName>
    <definedName name="Jig_Plant_Size__TPH_Feed_Rate" localSheetId="4">#REF!</definedName>
    <definedName name="Jig_Plant_Size__TPH_Feed_Rate">#REF!</definedName>
    <definedName name="k" localSheetId="4">#REF!</definedName>
    <definedName name="k">#REF!</definedName>
    <definedName name="MRATE">'[4]MATERIAL RATES'!$C$33:$R$4458</definedName>
    <definedName name="perc" localSheetId="1">Methodology!#REF!</definedName>
    <definedName name="perc" localSheetId="4">#REF!</definedName>
    <definedName name="perc">#REF!</definedName>
    <definedName name="Plant_Size" localSheetId="4">#REF!</definedName>
    <definedName name="Plant_Size">#REF!</definedName>
    <definedName name="pp" localSheetId="4">#REF!</definedName>
    <definedName name="pp">#REF!</definedName>
    <definedName name="_xlnm.Print_Area" localSheetId="2">' Design - Storm water Drains'!$A$1:$AH$118</definedName>
    <definedName name="_xlnm.Print_Area" localSheetId="3">'Design-HDPE pipe'!$A$1:$U$47</definedName>
    <definedName name="_xlnm.Print_Area" localSheetId="1">Methodology!$C$1:$AN$94</definedName>
    <definedName name="_xlnm.Print_Area" localSheetId="4">'Storm water calc - Rational'!$A$1:$K$35</definedName>
    <definedName name="_xlnm.Print_Titles" localSheetId="1">Methodology!$1:$14</definedName>
    <definedName name="qq" localSheetId="4">#REF!</definedName>
    <definedName name="qq">#REF!</definedName>
    <definedName name="ri" localSheetId="4">#REF!</definedName>
    <definedName name="ri">#REF!</definedName>
    <definedName name="RL" localSheetId="4">#REF!</definedName>
    <definedName name="RL">#REF!</definedName>
    <definedName name="ro" localSheetId="4">#REF!</definedName>
    <definedName name="ro">#REF!</definedName>
    <definedName name="Sanitary" localSheetId="4">#REF!</definedName>
    <definedName name="Sanitary">#REF!</definedName>
    <definedName name="sheetformat" localSheetId="4">#REF!</definedName>
    <definedName name="sheetformat">#REF!</definedName>
    <definedName name="sss" localSheetId="4">#REF!</definedName>
    <definedName name="sss">#REF!</definedName>
    <definedName name="tolerance" localSheetId="1">Methodology!#REF!</definedName>
    <definedName name="tolerance" localSheetId="4">#REF!</definedName>
    <definedName name="tolerance">#REF!</definedName>
    <definedName name="type" localSheetId="1">Methodology!#REF!</definedName>
    <definedName name="type" localSheetId="4">#REF!</definedName>
    <definedName name="type">#REF!</definedName>
    <definedName name="water" localSheetId="1">Methodology!#REF!</definedName>
    <definedName name="water" localSheetId="4">#REF!</definedName>
    <definedName name="water">#REF!</definedName>
    <definedName name="YN" localSheetId="1">Methodology!#REF!</definedName>
    <definedName name="YN" localSheetId="4">#REF!</definedName>
    <definedName name="Y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J9" i="7"/>
  <c r="N9" i="7"/>
  <c r="O9" i="7" s="1"/>
  <c r="S9" i="7" s="1"/>
  <c r="P9" i="7"/>
  <c r="R9" i="7"/>
  <c r="U9" i="7"/>
  <c r="F8" i="7"/>
  <c r="R8" i="7"/>
  <c r="V9" i="7" l="1"/>
  <c r="W9" i="7" s="1"/>
  <c r="X9" i="7"/>
  <c r="Y9" i="7" s="1"/>
  <c r="K30" i="18"/>
  <c r="L30" i="18" s="1"/>
  <c r="R30" i="18"/>
  <c r="K28" i="18"/>
  <c r="L28" i="18" s="1"/>
  <c r="S28" i="18" s="1"/>
  <c r="T28" i="18" s="1"/>
  <c r="R28" i="18"/>
  <c r="K27" i="18"/>
  <c r="L27" i="18" s="1"/>
  <c r="S27" i="18" s="1"/>
  <c r="T27" i="18" s="1"/>
  <c r="R27" i="18"/>
  <c r="K22" i="18"/>
  <c r="L22" i="18" s="1"/>
  <c r="S22" i="18" s="1"/>
  <c r="T22" i="18" s="1"/>
  <c r="R22" i="18"/>
  <c r="K23" i="18"/>
  <c r="L23" i="18" s="1"/>
  <c r="S23" i="18" s="1"/>
  <c r="T23" i="18" s="1"/>
  <c r="R23" i="18"/>
  <c r="K14" i="18"/>
  <c r="L14" i="18" s="1"/>
  <c r="S14" i="18" s="1"/>
  <c r="T14" i="18" s="1"/>
  <c r="R14" i="18"/>
  <c r="K11" i="18"/>
  <c r="L11" i="18" s="1"/>
  <c r="S11" i="18" s="1"/>
  <c r="T11" i="18" s="1"/>
  <c r="R11" i="18"/>
  <c r="K39" i="18"/>
  <c r="L39" i="18" s="1"/>
  <c r="S39" i="18" s="1"/>
  <c r="T39" i="18" s="1"/>
  <c r="R39" i="18"/>
  <c r="K37" i="18"/>
  <c r="L37" i="18" s="1"/>
  <c r="R37" i="18"/>
  <c r="K38" i="18"/>
  <c r="L38" i="18" s="1"/>
  <c r="S38" i="18" s="1"/>
  <c r="T38" i="18" s="1"/>
  <c r="R38" i="18"/>
  <c r="K34" i="18"/>
  <c r="L34" i="18" s="1"/>
  <c r="S34" i="18" s="1"/>
  <c r="T34" i="18" s="1"/>
  <c r="R34" i="18"/>
  <c r="K42" i="18"/>
  <c r="L42" i="18" s="1"/>
  <c r="S42" i="18" s="1"/>
  <c r="T42" i="18" s="1"/>
  <c r="R42" i="18"/>
  <c r="AD8" i="7"/>
  <c r="K36" i="18"/>
  <c r="L36" i="18" s="1"/>
  <c r="R36" i="18"/>
  <c r="R41" i="18"/>
  <c r="K41" i="18"/>
  <c r="L41" i="18" s="1"/>
  <c r="S41" i="18" s="1"/>
  <c r="T41" i="18" s="1"/>
  <c r="R35" i="18"/>
  <c r="K35" i="18"/>
  <c r="L35" i="18" s="1"/>
  <c r="S35" i="18" s="1"/>
  <c r="T35" i="18" s="1"/>
  <c r="R33" i="18"/>
  <c r="K33" i="18"/>
  <c r="L33" i="18" s="1"/>
  <c r="S33" i="18" s="1"/>
  <c r="T33" i="18" s="1"/>
  <c r="R32" i="18"/>
  <c r="K32" i="18"/>
  <c r="L32" i="18" s="1"/>
  <c r="R29" i="18"/>
  <c r="K29" i="18"/>
  <c r="L29" i="18" s="1"/>
  <c r="S29" i="18" s="1"/>
  <c r="T29" i="18" s="1"/>
  <c r="R26" i="18"/>
  <c r="K26" i="18"/>
  <c r="L26" i="18" s="1"/>
  <c r="S26" i="18" s="1"/>
  <c r="T26" i="18" s="1"/>
  <c r="R25" i="18"/>
  <c r="K25" i="18"/>
  <c r="L25" i="18" s="1"/>
  <c r="K19" i="18"/>
  <c r="L19" i="18" s="1"/>
  <c r="S19" i="18" s="1"/>
  <c r="T19" i="18" s="1"/>
  <c r="R19" i="18"/>
  <c r="K20" i="18"/>
  <c r="L20" i="18" s="1"/>
  <c r="R20" i="18"/>
  <c r="K21" i="18"/>
  <c r="L21" i="18" s="1"/>
  <c r="R21" i="18"/>
  <c r="U8" i="7"/>
  <c r="B29" i="10"/>
  <c r="S30" i="18" l="1"/>
  <c r="T30" i="18" s="1"/>
  <c r="I18" i="18"/>
  <c r="I19" i="18"/>
  <c r="N19" i="18" s="1"/>
  <c r="P19" i="18" s="1"/>
  <c r="I29" i="18"/>
  <c r="N29" i="18" s="1"/>
  <c r="I39" i="18"/>
  <c r="N39" i="18" s="1"/>
  <c r="O39" i="18" s="1"/>
  <c r="S37" i="18"/>
  <c r="T37" i="18" s="1"/>
  <c r="I33" i="18"/>
  <c r="N33" i="18" s="1"/>
  <c r="O33" i="18" s="1"/>
  <c r="I16" i="18"/>
  <c r="I41" i="18"/>
  <c r="N41" i="18" s="1"/>
  <c r="O41" i="18" s="1"/>
  <c r="I32" i="18"/>
  <c r="N32" i="18" s="1"/>
  <c r="S36" i="18"/>
  <c r="T36" i="18" s="1"/>
  <c r="S32" i="18"/>
  <c r="T32" i="18" s="1"/>
  <c r="S25" i="18"/>
  <c r="T25" i="18" s="1"/>
  <c r="S20" i="18"/>
  <c r="T20" i="18" s="1"/>
  <c r="S21" i="18"/>
  <c r="T21" i="18" s="1"/>
  <c r="R15" i="18"/>
  <c r="K15" i="18"/>
  <c r="L15" i="18" s="1"/>
  <c r="R18" i="18"/>
  <c r="K18" i="18"/>
  <c r="L18" i="18" s="1"/>
  <c r="S18" i="18" s="1"/>
  <c r="T18" i="18" s="1"/>
  <c r="R17" i="18"/>
  <c r="K17" i="18"/>
  <c r="L17" i="18" s="1"/>
  <c r="S17" i="18" s="1"/>
  <c r="T17" i="18" s="1"/>
  <c r="R16" i="18"/>
  <c r="K16" i="18"/>
  <c r="L16" i="18" s="1"/>
  <c r="R13" i="18"/>
  <c r="K13" i="18"/>
  <c r="L13" i="18" s="1"/>
  <c r="R12" i="18"/>
  <c r="K12" i="18"/>
  <c r="L12" i="18" s="1"/>
  <c r="S12" i="18" s="1"/>
  <c r="T12" i="18" s="1"/>
  <c r="R10" i="18"/>
  <c r="K10" i="18"/>
  <c r="L10" i="18" s="1"/>
  <c r="S10" i="18" s="1"/>
  <c r="T10" i="18" s="1"/>
  <c r="N8" i="7"/>
  <c r="I28" i="18" l="1"/>
  <c r="N28" i="18" s="1"/>
  <c r="O28" i="18" s="1"/>
  <c r="I30" i="18"/>
  <c r="N30" i="18" s="1"/>
  <c r="O30" i="18" s="1"/>
  <c r="P39" i="18"/>
  <c r="I42" i="18"/>
  <c r="N42" i="18" s="1"/>
  <c r="P42" i="18" s="1"/>
  <c r="I20" i="18"/>
  <c r="N20" i="18" s="1"/>
  <c r="O20" i="18" s="1"/>
  <c r="I25" i="18"/>
  <c r="N25" i="18" s="1"/>
  <c r="O25" i="18" s="1"/>
  <c r="I26" i="18"/>
  <c r="N26" i="18" s="1"/>
  <c r="O26" i="18" s="1"/>
  <c r="O29" i="18"/>
  <c r="P29" i="18"/>
  <c r="O32" i="18"/>
  <c r="P32" i="18"/>
  <c r="P41" i="18"/>
  <c r="P33" i="18"/>
  <c r="O19" i="18"/>
  <c r="I34" i="18"/>
  <c r="N34" i="18" s="1"/>
  <c r="O34" i="18" s="1"/>
  <c r="S15" i="18"/>
  <c r="T15" i="18" s="1"/>
  <c r="U13" i="18"/>
  <c r="N16" i="18"/>
  <c r="P16" i="18" s="1"/>
  <c r="S13" i="18"/>
  <c r="T13" i="18" s="1"/>
  <c r="U19" i="18"/>
  <c r="U15" i="18"/>
  <c r="U10" i="18"/>
  <c r="U12" i="18"/>
  <c r="S16" i="18"/>
  <c r="T16" i="18" s="1"/>
  <c r="U18" i="18"/>
  <c r="N18" i="18"/>
  <c r="O18" i="18" s="1"/>
  <c r="U17" i="18"/>
  <c r="O8" i="7"/>
  <c r="P30" i="18" l="1"/>
  <c r="P28" i="18"/>
  <c r="I27" i="18"/>
  <c r="N27" i="18" s="1"/>
  <c r="I14" i="18"/>
  <c r="N14" i="18" s="1"/>
  <c r="P34" i="18"/>
  <c r="I36" i="18"/>
  <c r="N36" i="18" s="1"/>
  <c r="I35" i="18"/>
  <c r="N35" i="18" s="1"/>
  <c r="O42" i="18"/>
  <c r="P26" i="18"/>
  <c r="P25" i="18"/>
  <c r="J8" i="7"/>
  <c r="I10" i="18"/>
  <c r="N10" i="18" s="1"/>
  <c r="O10" i="18" s="1"/>
  <c r="P20" i="18"/>
  <c r="O16" i="18"/>
  <c r="P18" i="18"/>
  <c r="P27" i="18" l="1"/>
  <c r="O27" i="18"/>
  <c r="I23" i="18"/>
  <c r="N23" i="18" s="1"/>
  <c r="I22" i="18"/>
  <c r="N22" i="18" s="1"/>
  <c r="I21" i="18"/>
  <c r="N21" i="18" s="1"/>
  <c r="O14" i="18"/>
  <c r="P14" i="18"/>
  <c r="I11" i="18"/>
  <c r="N11" i="18" s="1"/>
  <c r="P36" i="18"/>
  <c r="O36" i="18"/>
  <c r="P35" i="18"/>
  <c r="O35" i="18"/>
  <c r="I12" i="18"/>
  <c r="N12" i="18" s="1"/>
  <c r="I38" i="18"/>
  <c r="N38" i="18" s="1"/>
  <c r="I37" i="18"/>
  <c r="N37" i="18" s="1"/>
  <c r="I13" i="18"/>
  <c r="N13" i="18" s="1"/>
  <c r="P10" i="18"/>
  <c r="P22" i="18" l="1"/>
  <c r="O22" i="18"/>
  <c r="O23" i="18"/>
  <c r="P23" i="18"/>
  <c r="O21" i="18"/>
  <c r="P21" i="18"/>
  <c r="P11" i="18"/>
  <c r="O11" i="18"/>
  <c r="O37" i="18"/>
  <c r="P37" i="18"/>
  <c r="O38" i="18"/>
  <c r="P38" i="18"/>
  <c r="I15" i="18"/>
  <c r="N15" i="18" s="1"/>
  <c r="P12" i="18"/>
  <c r="O12" i="18"/>
  <c r="O13" i="18"/>
  <c r="P13" i="18"/>
  <c r="O15" i="18" l="1"/>
  <c r="P15" i="18"/>
  <c r="D34" i="10"/>
  <c r="B28" i="10"/>
  <c r="AC8" i="7"/>
  <c r="P8" i="7"/>
  <c r="S8" i="7" s="1"/>
  <c r="X8" i="7" s="1"/>
  <c r="Y8" i="7" s="1"/>
  <c r="AE8" i="7" l="1"/>
  <c r="B31" i="10"/>
  <c r="B32" i="10" s="1"/>
  <c r="C34" i="10" s="1"/>
  <c r="V8" i="7" l="1"/>
  <c r="I17" i="18" l="1"/>
  <c r="N17" i="18" s="1"/>
  <c r="AH8" i="7"/>
  <c r="O17" i="18" l="1"/>
  <c r="P17" i="18"/>
  <c r="W8" i="7"/>
</calcChain>
</file>

<file path=xl/sharedStrings.xml><?xml version="1.0" encoding="utf-8"?>
<sst xmlns="http://schemas.openxmlformats.org/spreadsheetml/2006/main" count="198" uniqueCount="170">
  <si>
    <t>Q =</t>
  </si>
  <si>
    <t>=</t>
  </si>
  <si>
    <t>Design Check/Proposed</t>
  </si>
  <si>
    <t>Ground levels</t>
  </si>
  <si>
    <t>Invert Level</t>
  </si>
  <si>
    <t>Length (m)</t>
  </si>
  <si>
    <t>Catchment Area (Ha)</t>
  </si>
  <si>
    <t>Coefficient   ( C )</t>
  </si>
  <si>
    <t>Rainfall Intensity (mm/Hr)</t>
  </si>
  <si>
    <r>
      <t>Discharge 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/sec)</t>
    </r>
  </si>
  <si>
    <t>Free Borad (m)</t>
  </si>
  <si>
    <t>Effective Depth (m)</t>
  </si>
  <si>
    <t>Effective Area (A) (Sqm)</t>
  </si>
  <si>
    <t>R = A / P</t>
  </si>
  <si>
    <t>1/n</t>
  </si>
  <si>
    <r>
      <t>Carrying Capacity 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/sec)</t>
    </r>
  </si>
  <si>
    <t>Check for carrying Capacity</t>
  </si>
  <si>
    <t>Gradient 1 in</t>
  </si>
  <si>
    <t>Maning's "n"</t>
  </si>
  <si>
    <r>
      <t>Velocity (m</t>
    </r>
    <r>
      <rPr>
        <sz val="10"/>
        <rFont val="Arial"/>
        <family val="2"/>
      </rPr>
      <t>/sec)</t>
    </r>
  </si>
  <si>
    <t>Check for Velocity</t>
  </si>
  <si>
    <t>Start (m)</t>
  </si>
  <si>
    <t>End (m)</t>
  </si>
  <si>
    <t>Drop (m)</t>
  </si>
  <si>
    <t>C =</t>
  </si>
  <si>
    <t>I=</t>
  </si>
  <si>
    <t>A=</t>
  </si>
  <si>
    <t>in/hr</t>
  </si>
  <si>
    <t>acres</t>
  </si>
  <si>
    <t>CFS</t>
  </si>
  <si>
    <t>Liters/sec</t>
  </si>
  <si>
    <t xml:space="preserve">Total storm water quantity </t>
  </si>
  <si>
    <t>mm/hr  = As per client data</t>
  </si>
  <si>
    <t>Minimum Storm Quantity as per therotical calculations ( Rational Method) :-</t>
  </si>
  <si>
    <t>Location/Area</t>
  </si>
  <si>
    <t>S.No.</t>
  </si>
  <si>
    <t>Start Node</t>
  </si>
  <si>
    <t>End Node</t>
  </si>
  <si>
    <t>Chamber No</t>
  </si>
  <si>
    <t>Dimensions</t>
  </si>
  <si>
    <t>Chamber Details</t>
  </si>
  <si>
    <t>Drain cover depth (m)</t>
  </si>
  <si>
    <t xml:space="preserve"> </t>
  </si>
  <si>
    <t>PROJECT TITLE:</t>
  </si>
  <si>
    <t>SUBJECT:</t>
  </si>
  <si>
    <r>
      <t>P</t>
    </r>
    <r>
      <rPr>
        <sz val="8"/>
        <color indexed="23"/>
        <rFont val="Calibri"/>
        <family val="2"/>
      </rPr>
      <t>AGE NO:</t>
    </r>
  </si>
  <si>
    <t>PROJECT NO:</t>
  </si>
  <si>
    <r>
      <t>F</t>
    </r>
    <r>
      <rPr>
        <sz val="8"/>
        <color indexed="23"/>
        <rFont val="Calibri"/>
        <family val="2"/>
      </rPr>
      <t>ILE REF:</t>
    </r>
  </si>
  <si>
    <r>
      <t>R</t>
    </r>
    <r>
      <rPr>
        <sz val="8"/>
        <color indexed="23"/>
        <rFont val="Calibri"/>
        <family val="2"/>
      </rPr>
      <t>EV:</t>
    </r>
  </si>
  <si>
    <t>PREPARED BY:</t>
  </si>
  <si>
    <r>
      <t>D</t>
    </r>
    <r>
      <rPr>
        <sz val="8"/>
        <color indexed="23"/>
        <rFont val="Calibri"/>
        <family val="2"/>
      </rPr>
      <t>ATE:</t>
    </r>
  </si>
  <si>
    <r>
      <t>R</t>
    </r>
    <r>
      <rPr>
        <sz val="8"/>
        <color indexed="23"/>
        <rFont val="Calibri"/>
        <family val="2"/>
      </rPr>
      <t>EV DATE:</t>
    </r>
  </si>
  <si>
    <t>CHECKED BY:</t>
  </si>
  <si>
    <t>(SEE CALC PAGE NO</t>
  </si>
  <si>
    <r>
      <t>FOR ALTERNATIVE CALCULATIONS</t>
    </r>
    <r>
      <rPr>
        <sz val="8"/>
        <color indexed="23"/>
        <rFont val="Calibri"/>
        <family val="2"/>
      </rPr>
      <t>)</t>
    </r>
  </si>
  <si>
    <r>
      <t>C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a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l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c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u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l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a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t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i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o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n</t>
    </r>
    <r>
      <rPr>
        <sz val="8"/>
        <color indexed="23"/>
        <rFont val="Calibri"/>
        <family val="2"/>
      </rPr>
      <t xml:space="preserve"> </t>
    </r>
    <r>
      <rPr>
        <sz val="15"/>
        <color indexed="23"/>
        <rFont val="Calibri"/>
        <family val="2"/>
      </rPr>
      <t>s</t>
    </r>
  </si>
  <si>
    <r>
      <t xml:space="preserve"> R</t>
    </r>
    <r>
      <rPr>
        <sz val="8"/>
        <color indexed="23"/>
        <rFont val="Calibri"/>
        <family val="2"/>
      </rPr>
      <t>EF.</t>
    </r>
  </si>
  <si>
    <t xml:space="preserve">The development area boundary is the key factor for working out all the requirements of the storm water </t>
  </si>
  <si>
    <t xml:space="preserve">drainage. The development plan of project area is studied to identify the magnitude of services required </t>
  </si>
  <si>
    <t>and land use also decides the development of drainage network.</t>
  </si>
  <si>
    <t xml:space="preserve">For storm water drainage system, considerations included are;- </t>
  </si>
  <si>
    <t>D</t>
  </si>
  <si>
    <t xml:space="preserve">The rational method is widely used for design of storm drainage systems. For design of drainage system, </t>
  </si>
  <si>
    <t xml:space="preserve">it is given by the following expression, </t>
  </si>
  <si>
    <t>Where,</t>
  </si>
  <si>
    <t xml:space="preserve">k is conversion factor </t>
  </si>
  <si>
    <t>Q</t>
  </si>
  <si>
    <t>C</t>
  </si>
  <si>
    <t xml:space="preserve">is the runoff Coefficient </t>
  </si>
  <si>
    <t>A</t>
  </si>
  <si>
    <t xml:space="preserve">The hydraulic design of storm water system will be done in house developed excel based software using  </t>
  </si>
  <si>
    <t>Manning’s formula</t>
  </si>
  <si>
    <t>V</t>
  </si>
  <si>
    <t>R</t>
  </si>
  <si>
    <t>W - Width (m)</t>
  </si>
  <si>
    <t>D - Depth (m)</t>
  </si>
  <si>
    <t>Sr. No.</t>
  </si>
  <si>
    <t xml:space="preserve">Start Node </t>
  </si>
  <si>
    <r>
      <t>Discharge Q 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/sec)</t>
    </r>
  </si>
  <si>
    <t>Slope (1 in ___)</t>
  </si>
  <si>
    <t>Slope (S)</t>
  </si>
  <si>
    <t>Slope (S^0.50)</t>
  </si>
  <si>
    <t>Manning's N for HDPE Pipe</t>
  </si>
  <si>
    <t>Dia of Pipe (m)</t>
  </si>
  <si>
    <t>Dia of Pipe (mm)</t>
  </si>
  <si>
    <t>Dia of pipe Proposed (m)</t>
  </si>
  <si>
    <t xml:space="preserve">Status </t>
  </si>
  <si>
    <t>M3/S</t>
  </si>
  <si>
    <t>Design computations of storm channels/conduits are given as follows :</t>
  </si>
  <si>
    <t>Reynold's number</t>
  </si>
  <si>
    <t>For open channel flow of any cross section :</t>
  </si>
  <si>
    <t>Re = VR/ v</t>
  </si>
  <si>
    <t>For flow in pipe of diameter D :</t>
  </si>
  <si>
    <t>Re = VD/ v</t>
  </si>
  <si>
    <t>Where ,</t>
  </si>
  <si>
    <t>Re</t>
  </si>
  <si>
    <t>Reynold's Number (dimensionless)</t>
  </si>
  <si>
    <t>v</t>
  </si>
  <si>
    <t>P</t>
  </si>
  <si>
    <t>Cross sectional mean velocity in m/sec</t>
  </si>
  <si>
    <t>diamenter of pipe</t>
  </si>
  <si>
    <t>Hydroulic Radius (A/P) in m</t>
  </si>
  <si>
    <t>Kinematic viscosity in m2/sec</t>
  </si>
  <si>
    <t>wetted perimeter in m</t>
  </si>
  <si>
    <t>Functional Requirements</t>
  </si>
  <si>
    <t>Turbulant when Re &gt; 1000</t>
  </si>
  <si>
    <t>Turbulant when Re &gt;- 4000</t>
  </si>
  <si>
    <t xml:space="preserve">For Open Channel flow,  is Laminar when Re &lt;-500 </t>
  </si>
  <si>
    <t>for Pipe flow,  is Laminar when Re &lt;-2000</t>
  </si>
  <si>
    <t>B</t>
  </si>
  <si>
    <t>Design velocities to be ensured in gravity storm channels:</t>
  </si>
  <si>
    <t>Minimum velocity = 0.6m/s</t>
  </si>
  <si>
    <t>Maximum velocity = 3 m/s</t>
  </si>
  <si>
    <t>Freeboard in open channels</t>
  </si>
  <si>
    <t>Freeboard shall be sufficient to prevent waves, super elevation changes, or fluctuations in water surface from overflowing the sides</t>
  </si>
  <si>
    <t>Q = CIA</t>
  </si>
  <si>
    <t>is maximum flow/ maximum rate of run off (CFS)</t>
  </si>
  <si>
    <t>I     is the Intensity of rainfall in inch/hr, and</t>
  </si>
  <si>
    <t xml:space="preserve">is the catchment of the area under consideration in Acres. </t>
  </si>
  <si>
    <t>For storm conduits , freeboard is not defined as they are supposed to run full.</t>
  </si>
  <si>
    <t>Rational Method</t>
  </si>
  <si>
    <t>Design Formula</t>
  </si>
  <si>
    <t>E</t>
  </si>
  <si>
    <t>location (which includes pipe connection from Oil sepeartors to flap valve at outlet )</t>
  </si>
  <si>
    <t>2. Rational Method is used for determination or estimation of storm water run-off;</t>
  </si>
  <si>
    <t>3. Traditional trench are porposed to all container areas and building areas. Pipe conduits are proposed at outfall -</t>
  </si>
  <si>
    <t>4. Hume pipe/ box culvert is proposed wherever roads are crossing .</t>
  </si>
  <si>
    <t>1.  Rainfall Intensity</t>
  </si>
  <si>
    <t>Catchment Area (sq. m)</t>
  </si>
  <si>
    <t>NOTE  : **</t>
  </si>
  <si>
    <t>-</t>
  </si>
  <si>
    <t>Minimum free board for open channels shall be considered as 100 mm.</t>
  </si>
  <si>
    <t xml:space="preserve"> of maximum storm of a given frequency. </t>
  </si>
  <si>
    <t>The above expression indicates the rate of storm water runoff is directly proportional to the intensity of rainfall against the period</t>
  </si>
  <si>
    <t xml:space="preserve">Employer </t>
  </si>
  <si>
    <t>Employer's Consultant</t>
  </si>
  <si>
    <t>ROYAL HASKONINGDHV</t>
  </si>
  <si>
    <t xml:space="preserve">Revision : </t>
  </si>
  <si>
    <t xml:space="preserve">Date: </t>
  </si>
  <si>
    <t>Therefore, the Contractor will need to revise all the aforementioned details and calculations during the detailed design stage to meet the actual requirements of the storm network system.</t>
  </si>
  <si>
    <t>Check Q</t>
  </si>
  <si>
    <t xml:space="preserve">The storm design calculations mentioned above are formulated from the concept design to estimate preliminary trench/pipe sizes and quantify the stormwater networks and accessories. </t>
  </si>
  <si>
    <t>Discharge &amp; Pipe size ( outfall) Required**</t>
  </si>
  <si>
    <t>HDPE Pipe sizing :-</t>
  </si>
  <si>
    <t>REV-01</t>
  </si>
  <si>
    <t>Traditional storm trench sizing :-</t>
  </si>
  <si>
    <t xml:space="preserve">Storm water network calculation - </t>
  </si>
  <si>
    <t>Appendix -</t>
  </si>
  <si>
    <t>client logo</t>
  </si>
  <si>
    <t>client name</t>
  </si>
  <si>
    <t>P01</t>
  </si>
  <si>
    <t>Storm water Design</t>
  </si>
  <si>
    <t>Client logo</t>
  </si>
  <si>
    <r>
      <t>DESIGN OF</t>
    </r>
    <r>
      <rPr>
        <b/>
        <sz val="14"/>
        <color rgb="FFFF0000"/>
        <rFont val="Calibri"/>
        <family val="2"/>
        <scheme val="minor"/>
      </rPr>
      <t xml:space="preserve"> project name</t>
    </r>
  </si>
  <si>
    <t>XX</t>
  </si>
  <si>
    <t>Slope/Gradient</t>
  </si>
  <si>
    <t>Chamber depth
(To be rounded to nearest value)</t>
  </si>
  <si>
    <t>Out Fall 03</t>
  </si>
  <si>
    <t>Out Fall 04</t>
  </si>
  <si>
    <t>Out Fall 02, 02A &amp; 02B</t>
  </si>
  <si>
    <t>Out Fall 01 &amp; 01A</t>
  </si>
  <si>
    <t>Appendix - 1
Storm water Network - Calculation</t>
  </si>
  <si>
    <t>Appendix - 1</t>
  </si>
  <si>
    <t>Storm water network calculations</t>
  </si>
  <si>
    <t>Storm water network calculation - Pipe Sizing</t>
  </si>
  <si>
    <t>Wetted perimeter (P)</t>
  </si>
  <si>
    <t>Discharge Required</t>
  </si>
  <si>
    <t xml:space="preserve">Proposed Drains </t>
  </si>
  <si>
    <t>Project Title</t>
  </si>
  <si>
    <t>Dated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</si>
</sst>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9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2"/>
      <color rgb="FF00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8"/>
      <color indexed="23"/>
      <name val="Calibri"/>
      <family val="2"/>
      <scheme val="minor"/>
    </font>
    <font>
      <sz val="8"/>
      <name val="Arial Narrow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"/>
      <color indexed="23"/>
      <name val="Calibri"/>
      <family val="2"/>
    </font>
    <font>
      <sz val="8"/>
      <name val="Tahoma"/>
      <family val="2"/>
    </font>
    <font>
      <b/>
      <sz val="9"/>
      <color indexed="23"/>
      <name val="Calibri"/>
      <family val="2"/>
      <scheme val="minor"/>
    </font>
    <font>
      <sz val="9"/>
      <color indexed="23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5"/>
      <color indexed="23"/>
      <name val="Calibri"/>
      <family val="2"/>
      <scheme val="minor"/>
    </font>
    <font>
      <sz val="15"/>
      <color indexed="23"/>
      <name val="Calibri"/>
      <family val="2"/>
    </font>
    <font>
      <i/>
      <sz val="7"/>
      <name val="Arial"/>
      <family val="2"/>
    </font>
    <font>
      <sz val="8"/>
      <color rgb="FF00577E"/>
      <name val="Arial"/>
      <family val="2"/>
    </font>
    <font>
      <i/>
      <sz val="5"/>
      <name val="Arial"/>
      <family val="2"/>
    </font>
    <font>
      <sz val="10"/>
      <color rgb="FF00577E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trike/>
      <sz val="10"/>
      <name val="Arial"/>
      <family val="2"/>
    </font>
    <font>
      <b/>
      <i/>
      <sz val="7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rgb="FFFF0000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14"/>
      <color rgb="FFFF0000"/>
      <name val="Calibri"/>
      <family val="2"/>
      <scheme val="minor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b/>
      <sz val="16"/>
      <name val="Arial"/>
      <family val="2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4"/>
      </bottom>
      <diagonal/>
    </border>
    <border>
      <left style="thin">
        <color indexed="41"/>
      </left>
      <right/>
      <top style="thin">
        <color indexed="41"/>
      </top>
      <bottom style="thin">
        <color indexed="44"/>
      </bottom>
      <diagonal/>
    </border>
    <border>
      <left style="thin">
        <color indexed="15"/>
      </left>
      <right style="thin">
        <color indexed="41"/>
      </right>
      <top style="thin">
        <color indexed="41"/>
      </top>
      <bottom style="thin">
        <color indexed="44"/>
      </bottom>
      <diagonal/>
    </border>
    <border>
      <left style="thin">
        <color indexed="41"/>
      </left>
      <right style="thin">
        <color indexed="15"/>
      </right>
      <top style="thin">
        <color indexed="41"/>
      </top>
      <bottom style="thin">
        <color indexed="44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/>
      <diagonal/>
    </border>
    <border>
      <left style="thin">
        <color indexed="41"/>
      </left>
      <right/>
      <top style="thin">
        <color indexed="41"/>
      </top>
      <bottom/>
      <diagonal/>
    </border>
    <border>
      <left style="thin">
        <color indexed="15"/>
      </left>
      <right/>
      <top/>
      <bottom/>
      <diagonal/>
    </border>
    <border>
      <left/>
      <right style="thin">
        <color indexed="41"/>
      </right>
      <top style="thin">
        <color indexed="41"/>
      </top>
      <bottom/>
      <diagonal/>
    </border>
    <border>
      <left style="thin">
        <color indexed="41"/>
      </left>
      <right style="thin">
        <color indexed="15"/>
      </right>
      <top style="thin">
        <color indexed="41"/>
      </top>
      <bottom/>
      <diagonal/>
    </border>
    <border>
      <left style="thin">
        <color indexed="15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41"/>
      </left>
      <right/>
      <top style="thin">
        <color indexed="41"/>
      </top>
      <bottom style="thin">
        <color indexed="41"/>
      </bottom>
      <diagonal/>
    </border>
    <border>
      <left/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5" fillId="0" borderId="0"/>
    <xf numFmtId="0" fontId="12" fillId="0" borderId="0"/>
    <xf numFmtId="0" fontId="5" fillId="0" borderId="0"/>
    <xf numFmtId="0" fontId="11" fillId="0" borderId="0"/>
    <xf numFmtId="0" fontId="31" fillId="0" borderId="0"/>
    <xf numFmtId="0" fontId="2" fillId="0" borderId="0"/>
    <xf numFmtId="0" fontId="1" fillId="0" borderId="0"/>
  </cellStyleXfs>
  <cellXfs count="269">
    <xf numFmtId="0" fontId="0" fillId="0" borderId="0" xfId="0"/>
    <xf numFmtId="0" fontId="5" fillId="0" borderId="0" xfId="2" applyAlignment="1">
      <alignment horizontal="center" vertical="center"/>
    </xf>
    <xf numFmtId="0" fontId="10" fillId="4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166" fontId="15" fillId="4" borderId="0" xfId="3" applyNumberFormat="1" applyFont="1" applyFill="1" applyAlignment="1">
      <alignment horizontal="left" vertical="center"/>
    </xf>
    <xf numFmtId="0" fontId="10" fillId="4" borderId="0" xfId="3" applyFont="1" applyFill="1" applyAlignment="1" applyProtection="1">
      <alignment vertical="center"/>
      <protection locked="0"/>
    </xf>
    <xf numFmtId="0" fontId="18" fillId="4" borderId="0" xfId="3" applyFont="1" applyFill="1" applyAlignment="1" applyProtection="1">
      <alignment vertical="center"/>
      <protection locked="0"/>
    </xf>
    <xf numFmtId="0" fontId="19" fillId="4" borderId="0" xfId="3" applyFont="1" applyFill="1" applyAlignment="1" applyProtection="1">
      <alignment vertical="center"/>
      <protection locked="0"/>
    </xf>
    <xf numFmtId="0" fontId="21" fillId="4" borderId="0" xfId="3" applyFont="1" applyFill="1" applyAlignment="1">
      <alignment horizontal="left" vertical="center"/>
    </xf>
    <xf numFmtId="0" fontId="22" fillId="4" borderId="0" xfId="3" applyFont="1" applyFill="1" applyAlignment="1" applyProtection="1">
      <alignment vertical="center"/>
      <protection locked="0"/>
    </xf>
    <xf numFmtId="0" fontId="22" fillId="4" borderId="0" xfId="3" applyFont="1" applyFill="1" applyAlignment="1">
      <alignment vertical="center"/>
    </xf>
    <xf numFmtId="0" fontId="21" fillId="4" borderId="0" xfId="3" applyFont="1" applyFill="1" applyAlignment="1" applyProtection="1">
      <alignment vertical="center"/>
      <protection locked="0"/>
    </xf>
    <xf numFmtId="0" fontId="20" fillId="4" borderId="8" xfId="3" applyFont="1" applyFill="1" applyBorder="1" applyAlignment="1" applyProtection="1">
      <alignment vertical="center"/>
      <protection locked="0"/>
    </xf>
    <xf numFmtId="0" fontId="21" fillId="4" borderId="8" xfId="3" applyFont="1" applyFill="1" applyBorder="1" applyAlignment="1" applyProtection="1">
      <alignment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23" fillId="4" borderId="0" xfId="3" applyFont="1" applyFill="1" applyAlignment="1" applyProtection="1">
      <alignment vertical="center"/>
      <protection locked="0"/>
    </xf>
    <xf numFmtId="0" fontId="21" fillId="4" borderId="8" xfId="3" applyFont="1" applyFill="1" applyBorder="1" applyAlignment="1" applyProtection="1">
      <alignment horizontal="left" vertical="center"/>
      <protection locked="0"/>
    </xf>
    <xf numFmtId="0" fontId="24" fillId="4" borderId="0" xfId="3" applyFont="1" applyFill="1" applyAlignment="1" applyProtection="1">
      <alignment vertical="center"/>
      <protection locked="0"/>
    </xf>
    <xf numFmtId="0" fontId="13" fillId="4" borderId="0" xfId="3" applyFont="1" applyFill="1" applyAlignment="1">
      <alignment vertical="center"/>
    </xf>
    <xf numFmtId="0" fontId="25" fillId="4" borderId="0" xfId="3" applyFont="1" applyFill="1" applyAlignment="1">
      <alignment vertical="center"/>
    </xf>
    <xf numFmtId="0" fontId="13" fillId="4" borderId="10" xfId="3" applyFont="1" applyFill="1" applyBorder="1" applyAlignment="1">
      <alignment horizontal="left" vertical="center"/>
    </xf>
    <xf numFmtId="0" fontId="10" fillId="4" borderId="10" xfId="3" applyFont="1" applyFill="1" applyBorder="1" applyAlignment="1">
      <alignment vertical="center"/>
    </xf>
    <xf numFmtId="0" fontId="10" fillId="4" borderId="11" xfId="3" applyFont="1" applyFill="1" applyBorder="1" applyAlignment="1">
      <alignment vertical="center"/>
    </xf>
    <xf numFmtId="0" fontId="10" fillId="4" borderId="12" xfId="3" applyFont="1" applyFill="1" applyBorder="1" applyAlignment="1">
      <alignment vertical="center"/>
    </xf>
    <xf numFmtId="0" fontId="10" fillId="4" borderId="13" xfId="3" applyFont="1" applyFill="1" applyBorder="1" applyAlignment="1">
      <alignment vertical="center"/>
    </xf>
    <xf numFmtId="0" fontId="14" fillId="4" borderId="10" xfId="3" applyFont="1" applyFill="1" applyBorder="1" applyAlignment="1">
      <alignment vertical="center"/>
    </xf>
    <xf numFmtId="0" fontId="13" fillId="4" borderId="14" xfId="3" applyFont="1" applyFill="1" applyBorder="1" applyAlignment="1">
      <alignment horizontal="left" vertical="center"/>
    </xf>
    <xf numFmtId="0" fontId="10" fillId="4" borderId="14" xfId="3" applyFont="1" applyFill="1" applyBorder="1" applyAlignment="1">
      <alignment vertical="center"/>
    </xf>
    <xf numFmtId="0" fontId="10" fillId="4" borderId="15" xfId="3" applyFont="1" applyFill="1" applyBorder="1" applyAlignment="1">
      <alignment vertical="center"/>
    </xf>
    <xf numFmtId="0" fontId="10" fillId="4" borderId="16" xfId="3" applyFont="1" applyFill="1" applyBorder="1" applyAlignment="1">
      <alignment vertical="center"/>
    </xf>
    <xf numFmtId="0" fontId="10" fillId="4" borderId="17" xfId="3" applyFont="1" applyFill="1" applyBorder="1" applyAlignment="1">
      <alignment vertical="center"/>
    </xf>
    <xf numFmtId="0" fontId="10" fillId="4" borderId="18" xfId="3" applyFont="1" applyFill="1" applyBorder="1" applyAlignment="1">
      <alignment vertical="center"/>
    </xf>
    <xf numFmtId="0" fontId="13" fillId="4" borderId="17" xfId="3" applyFont="1" applyFill="1" applyBorder="1" applyAlignment="1">
      <alignment horizontal="left" vertical="center"/>
    </xf>
    <xf numFmtId="0" fontId="14" fillId="4" borderId="14" xfId="3" applyFont="1" applyFill="1" applyBorder="1" applyAlignment="1">
      <alignment vertical="center"/>
    </xf>
    <xf numFmtId="0" fontId="16" fillId="4" borderId="19" xfId="3" applyFont="1" applyFill="1" applyBorder="1" applyAlignment="1">
      <alignment vertical="center"/>
    </xf>
    <xf numFmtId="0" fontId="17" fillId="4" borderId="20" xfId="3" applyFont="1" applyFill="1" applyBorder="1" applyAlignment="1">
      <alignment vertical="center"/>
    </xf>
    <xf numFmtId="0" fontId="10" fillId="4" borderId="16" xfId="3" applyFont="1" applyFill="1" applyBorder="1"/>
    <xf numFmtId="0" fontId="10" fillId="0" borderId="0" xfId="3" applyFont="1"/>
    <xf numFmtId="0" fontId="10" fillId="4" borderId="17" xfId="3" applyFont="1" applyFill="1" applyBorder="1"/>
    <xf numFmtId="0" fontId="10" fillId="4" borderId="14" xfId="3" applyFont="1" applyFill="1" applyBorder="1"/>
    <xf numFmtId="0" fontId="10" fillId="4" borderId="19" xfId="3" applyFont="1" applyFill="1" applyBorder="1"/>
    <xf numFmtId="0" fontId="27" fillId="4" borderId="15" xfId="3" applyFont="1" applyFill="1" applyBorder="1" applyAlignment="1">
      <alignment horizontal="right" vertical="center"/>
    </xf>
    <xf numFmtId="0" fontId="10" fillId="4" borderId="19" xfId="3" applyFont="1" applyFill="1" applyBorder="1" applyAlignment="1">
      <alignment vertical="center"/>
    </xf>
    <xf numFmtId="0" fontId="14" fillId="4" borderId="14" xfId="3" applyFont="1" applyFill="1" applyBorder="1"/>
    <xf numFmtId="1" fontId="10" fillId="4" borderId="0" xfId="3" applyNumberFormat="1" applyFont="1" applyFill="1" applyAlignment="1">
      <alignment vertical="center"/>
    </xf>
    <xf numFmtId="0" fontId="17" fillId="4" borderId="20" xfId="3" applyFont="1" applyFill="1" applyBorder="1"/>
    <xf numFmtId="0" fontId="15" fillId="4" borderId="14" xfId="3" applyFont="1" applyFill="1" applyBorder="1"/>
    <xf numFmtId="0" fontId="10" fillId="0" borderId="0" xfId="3" applyFont="1" applyAlignment="1">
      <alignment horizontal="justify" vertical="center"/>
    </xf>
    <xf numFmtId="0" fontId="28" fillId="0" borderId="0" xfId="3" applyFont="1" applyAlignment="1">
      <alignment horizontal="justify" vertical="center"/>
    </xf>
    <xf numFmtId="0" fontId="10" fillId="4" borderId="0" xfId="3" applyFont="1" applyFill="1"/>
    <xf numFmtId="0" fontId="29" fillId="4" borderId="15" xfId="3" applyFont="1" applyFill="1" applyBorder="1" applyAlignment="1">
      <alignment horizontal="right" vertical="center"/>
    </xf>
    <xf numFmtId="0" fontId="30" fillId="0" borderId="0" xfId="3" applyFont="1" applyAlignment="1">
      <alignment horizontal="justify" vertical="center"/>
    </xf>
    <xf numFmtId="0" fontId="12" fillId="0" borderId="0" xfId="3"/>
    <xf numFmtId="0" fontId="11" fillId="0" borderId="0" xfId="3" applyFont="1" applyAlignment="1">
      <alignment horizontal="justify" vertical="center"/>
    </xf>
    <xf numFmtId="0" fontId="10" fillId="4" borderId="20" xfId="3" applyFont="1" applyFill="1" applyBorder="1" applyAlignment="1">
      <alignment vertical="center"/>
    </xf>
    <xf numFmtId="0" fontId="13" fillId="4" borderId="20" xfId="3" applyFont="1" applyFill="1" applyBorder="1" applyAlignment="1">
      <alignment horizontal="left" vertical="center"/>
    </xf>
    <xf numFmtId="0" fontId="10" fillId="4" borderId="21" xfId="3" applyFont="1" applyFill="1" applyBorder="1" applyAlignment="1">
      <alignment vertical="center"/>
    </xf>
    <xf numFmtId="0" fontId="10" fillId="4" borderId="22" xfId="3" applyFont="1" applyFill="1" applyBorder="1" applyAlignment="1">
      <alignment vertical="center"/>
    </xf>
    <xf numFmtId="0" fontId="13" fillId="4" borderId="22" xfId="3" applyFont="1" applyFill="1" applyBorder="1" applyAlignment="1">
      <alignment horizontal="left" vertical="center"/>
    </xf>
    <xf numFmtId="0" fontId="14" fillId="4" borderId="20" xfId="3" applyFont="1" applyFill="1" applyBorder="1" applyAlignment="1">
      <alignment vertical="center"/>
    </xf>
    <xf numFmtId="0" fontId="11" fillId="0" borderId="0" xfId="5" applyAlignment="1">
      <alignment vertical="center"/>
    </xf>
    <xf numFmtId="0" fontId="11" fillId="0" borderId="0" xfId="5"/>
    <xf numFmtId="0" fontId="5" fillId="0" borderId="0" xfId="6" applyFont="1"/>
    <xf numFmtId="0" fontId="33" fillId="0" borderId="0" xfId="6" applyFont="1"/>
    <xf numFmtId="0" fontId="16" fillId="4" borderId="19" xfId="3" applyFont="1" applyFill="1" applyBorder="1"/>
    <xf numFmtId="0" fontId="16" fillId="0" borderId="0" xfId="3" applyFont="1" applyAlignment="1">
      <alignment vertical="center"/>
    </xf>
    <xf numFmtId="0" fontId="16" fillId="4" borderId="17" xfId="3" applyFont="1" applyFill="1" applyBorder="1"/>
    <xf numFmtId="0" fontId="16" fillId="4" borderId="14" xfId="3" applyFont="1" applyFill="1" applyBorder="1" applyAlignment="1">
      <alignment vertical="center"/>
    </xf>
    <xf numFmtId="0" fontId="16" fillId="4" borderId="17" xfId="3" applyFont="1" applyFill="1" applyBorder="1" applyAlignment="1">
      <alignment vertical="center"/>
    </xf>
    <xf numFmtId="0" fontId="16" fillId="4" borderId="15" xfId="3" applyFont="1" applyFill="1" applyBorder="1" applyAlignment="1">
      <alignment vertical="center"/>
    </xf>
    <xf numFmtId="0" fontId="16" fillId="4" borderId="15" xfId="3" applyFont="1" applyFill="1" applyBorder="1" applyAlignment="1">
      <alignment horizontal="right" vertical="center"/>
    </xf>
    <xf numFmtId="0" fontId="34" fillId="4" borderId="15" xfId="3" applyFont="1" applyFill="1" applyBorder="1" applyAlignment="1">
      <alignment horizontal="right" vertical="center"/>
    </xf>
    <xf numFmtId="0" fontId="16" fillId="4" borderId="19" xfId="3" applyFont="1" applyFill="1" applyBorder="1" applyAlignment="1">
      <alignment horizontal="right"/>
    </xf>
    <xf numFmtId="0" fontId="11" fillId="0" borderId="26" xfId="5" applyBorder="1"/>
    <xf numFmtId="0" fontId="11" fillId="0" borderId="27" xfId="5" applyBorder="1"/>
    <xf numFmtId="0" fontId="9" fillId="0" borderId="26" xfId="5" applyFont="1" applyBorder="1" applyAlignment="1">
      <alignment vertical="center"/>
    </xf>
    <xf numFmtId="0" fontId="11" fillId="0" borderId="26" xfId="5" applyBorder="1" applyAlignment="1">
      <alignment horizontal="right"/>
    </xf>
    <xf numFmtId="0" fontId="11" fillId="0" borderId="0" xfId="5" applyAlignment="1">
      <alignment horizontal="right"/>
    </xf>
    <xf numFmtId="2" fontId="11" fillId="0" borderId="0" xfId="5" applyNumberFormat="1" applyAlignment="1">
      <alignment horizontal="right"/>
    </xf>
    <xf numFmtId="1" fontId="11" fillId="0" borderId="0" xfId="5" quotePrefix="1" applyNumberFormat="1"/>
    <xf numFmtId="1" fontId="11" fillId="0" borderId="0" xfId="5" applyNumberFormat="1"/>
    <xf numFmtId="0" fontId="11" fillId="0" borderId="28" xfId="5" applyBorder="1"/>
    <xf numFmtId="0" fontId="11" fillId="0" borderId="29" xfId="5" applyBorder="1"/>
    <xf numFmtId="0" fontId="5" fillId="0" borderId="24" xfId="2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5" fillId="0" borderId="0" xfId="6" applyFont="1" applyAlignment="1">
      <alignment vertical="center"/>
    </xf>
    <xf numFmtId="0" fontId="1" fillId="0" borderId="0" xfId="8"/>
    <xf numFmtId="0" fontId="40" fillId="0" borderId="1" xfId="8" applyFont="1" applyBorder="1"/>
    <xf numFmtId="0" fontId="5" fillId="0" borderId="27" xfId="6" applyFont="1" applyBorder="1"/>
    <xf numFmtId="0" fontId="6" fillId="0" borderId="26" xfId="6" applyFont="1" applyBorder="1"/>
    <xf numFmtId="0" fontId="5" fillId="0" borderId="25" xfId="2" applyBorder="1" applyAlignment="1">
      <alignment horizontal="center" vertical="center"/>
    </xf>
    <xf numFmtId="0" fontId="5" fillId="0" borderId="27" xfId="2" applyBorder="1" applyAlignment="1">
      <alignment horizontal="center" vertical="center"/>
    </xf>
    <xf numFmtId="0" fontId="5" fillId="0" borderId="41" xfId="6" applyFont="1" applyBorder="1"/>
    <xf numFmtId="0" fontId="33" fillId="0" borderId="27" xfId="6" applyFont="1" applyBorder="1"/>
    <xf numFmtId="0" fontId="8" fillId="0" borderId="0" xfId="6" applyFont="1"/>
    <xf numFmtId="0" fontId="8" fillId="0" borderId="26" xfId="6" applyFont="1" applyBorder="1"/>
    <xf numFmtId="0" fontId="5" fillId="3" borderId="34" xfId="6" applyFont="1" applyFill="1" applyBorder="1" applyAlignment="1">
      <alignment horizontal="center" vertical="center" wrapText="1"/>
    </xf>
    <xf numFmtId="0" fontId="32" fillId="0" borderId="7" xfId="6" applyFont="1" applyBorder="1" applyAlignment="1">
      <alignment vertical="center"/>
    </xf>
    <xf numFmtId="0" fontId="32" fillId="0" borderId="1" xfId="6" applyFont="1" applyBorder="1" applyAlignment="1">
      <alignment vertical="center"/>
    </xf>
    <xf numFmtId="0" fontId="32" fillId="0" borderId="6" xfId="6" applyFont="1" applyBorder="1" applyAlignment="1">
      <alignment vertical="center"/>
    </xf>
    <xf numFmtId="0" fontId="32" fillId="0" borderId="34" xfId="6" applyFont="1" applyBorder="1" applyAlignment="1">
      <alignment vertical="center"/>
    </xf>
    <xf numFmtId="2" fontId="5" fillId="0" borderId="34" xfId="6" applyNumberFormat="1" applyFont="1" applyBorder="1" applyAlignment="1">
      <alignment horizontal="center" vertical="center"/>
    </xf>
    <xf numFmtId="0" fontId="5" fillId="6" borderId="7" xfId="6" applyFont="1" applyFill="1" applyBorder="1" applyAlignment="1">
      <alignment horizontal="center" vertical="center" wrapText="1"/>
    </xf>
    <xf numFmtId="0" fontId="5" fillId="6" borderId="1" xfId="6" applyFont="1" applyFill="1" applyBorder="1" applyAlignment="1">
      <alignment horizontal="center" vertical="center" wrapText="1"/>
    </xf>
    <xf numFmtId="0" fontId="5" fillId="6" borderId="1" xfId="6" applyFont="1" applyFill="1" applyBorder="1" applyAlignment="1">
      <alignment vertical="center" wrapText="1"/>
    </xf>
    <xf numFmtId="0" fontId="5" fillId="6" borderId="6" xfId="6" applyFont="1" applyFill="1" applyBorder="1" applyAlignment="1">
      <alignment horizontal="center" vertical="center" wrapText="1"/>
    </xf>
    <xf numFmtId="0" fontId="0" fillId="2" borderId="0" xfId="5" applyFont="1" applyFill="1"/>
    <xf numFmtId="1" fontId="11" fillId="2" borderId="0" xfId="5" applyNumberFormat="1" applyFill="1" applyAlignment="1">
      <alignment horizontal="center" vertical="center"/>
    </xf>
    <xf numFmtId="0" fontId="11" fillId="2" borderId="0" xfId="5" applyFill="1" applyAlignment="1">
      <alignment horizontal="center" vertical="center"/>
    </xf>
    <xf numFmtId="0" fontId="11" fillId="0" borderId="0" xfId="5" quotePrefix="1" applyAlignment="1">
      <alignment wrapText="1"/>
    </xf>
    <xf numFmtId="0" fontId="45" fillId="5" borderId="0" xfId="5" applyFont="1" applyFill="1" applyAlignment="1">
      <alignment vertical="center"/>
    </xf>
    <xf numFmtId="0" fontId="45" fillId="0" borderId="0" xfId="5" applyFont="1"/>
    <xf numFmtId="0" fontId="45" fillId="0" borderId="0" xfId="5" applyFont="1" applyAlignment="1">
      <alignment vertical="center"/>
    </xf>
    <xf numFmtId="166" fontId="11" fillId="0" borderId="0" xfId="5" applyNumberFormat="1" applyAlignment="1">
      <alignment horizontal="right"/>
    </xf>
    <xf numFmtId="0" fontId="44" fillId="5" borderId="26" xfId="5" applyFont="1" applyFill="1" applyBorder="1" applyAlignment="1">
      <alignment vertical="center"/>
    </xf>
    <xf numFmtId="0" fontId="45" fillId="0" borderId="27" xfId="5" applyFont="1" applyBorder="1"/>
    <xf numFmtId="0" fontId="11" fillId="0" borderId="30" xfId="5" applyBorder="1"/>
    <xf numFmtId="2" fontId="5" fillId="0" borderId="48" xfId="6" applyNumberFormat="1" applyFont="1" applyBorder="1" applyAlignment="1">
      <alignment horizontal="center" vertical="center"/>
    </xf>
    <xf numFmtId="0" fontId="32" fillId="0" borderId="45" xfId="6" applyFont="1" applyBorder="1" applyAlignment="1">
      <alignment vertical="center"/>
    </xf>
    <xf numFmtId="0" fontId="5" fillId="0" borderId="0" xfId="2" applyAlignment="1">
      <alignment horizontal="center" vertical="center" wrapText="1"/>
    </xf>
    <xf numFmtId="0" fontId="5" fillId="0" borderId="0" xfId="4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1" fillId="0" borderId="0" xfId="5" applyAlignment="1">
      <alignment horizontal="center" vertical="center"/>
    </xf>
    <xf numFmtId="0" fontId="35" fillId="0" borderId="0" xfId="0" applyFont="1" applyAlignment="1">
      <alignment wrapText="1"/>
    </xf>
    <xf numFmtId="2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5" fillId="0" borderId="24" xfId="2" applyNumberFormat="1" applyBorder="1" applyAlignment="1">
      <alignment horizontal="center" vertical="center"/>
    </xf>
    <xf numFmtId="165" fontId="5" fillId="0" borderId="0" xfId="2" applyNumberFormat="1" applyAlignment="1">
      <alignment horizontal="center" vertical="center"/>
    </xf>
    <xf numFmtId="0" fontId="5" fillId="2" borderId="0" xfId="2" applyFill="1" applyAlignment="1">
      <alignment horizontal="center" vertical="center"/>
    </xf>
    <xf numFmtId="0" fontId="5" fillId="0" borderId="30" xfId="2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2" fontId="5" fillId="0" borderId="1" xfId="6" applyNumberFormat="1" applyFont="1" applyBorder="1" applyAlignment="1">
      <alignment horizontal="center" vertical="center" wrapText="1"/>
    </xf>
    <xf numFmtId="0" fontId="5" fillId="0" borderId="29" xfId="6" applyFont="1" applyBorder="1"/>
    <xf numFmtId="0" fontId="8" fillId="0" borderId="24" xfId="2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wrapText="1"/>
    </xf>
    <xf numFmtId="0" fontId="5" fillId="0" borderId="29" xfId="2" applyBorder="1" applyAlignment="1">
      <alignment horizontal="center" vertical="center"/>
    </xf>
    <xf numFmtId="0" fontId="41" fillId="0" borderId="1" xfId="8" applyFont="1" applyBorder="1" applyAlignment="1">
      <alignment horizontal="center" vertical="center"/>
    </xf>
    <xf numFmtId="14" fontId="41" fillId="0" borderId="1" xfId="8" applyNumberFormat="1" applyFont="1" applyBorder="1" applyAlignment="1">
      <alignment horizontal="center" vertical="center"/>
    </xf>
    <xf numFmtId="0" fontId="8" fillId="0" borderId="23" xfId="6" applyFont="1" applyBorder="1" applyAlignment="1">
      <alignment vertical="center"/>
    </xf>
    <xf numFmtId="0" fontId="6" fillId="0" borderId="24" xfId="2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 wrapText="1"/>
    </xf>
    <xf numFmtId="2" fontId="36" fillId="0" borderId="24" xfId="0" applyNumberFormat="1" applyFont="1" applyBorder="1" applyAlignment="1">
      <alignment horizontal="center" vertical="center" wrapText="1"/>
    </xf>
    <xf numFmtId="0" fontId="8" fillId="0" borderId="28" xfId="6" applyFont="1" applyBorder="1"/>
    <xf numFmtId="0" fontId="8" fillId="0" borderId="29" xfId="6" applyFont="1" applyBorder="1"/>
    <xf numFmtId="2" fontId="36" fillId="0" borderId="29" xfId="0" applyNumberFormat="1" applyFont="1" applyBorder="1" applyAlignment="1">
      <alignment horizontal="center" vertical="center" wrapText="1"/>
    </xf>
    <xf numFmtId="165" fontId="5" fillId="0" borderId="29" xfId="2" applyNumberFormat="1" applyBorder="1" applyAlignment="1">
      <alignment horizontal="center" vertical="center"/>
    </xf>
    <xf numFmtId="2" fontId="5" fillId="0" borderId="27" xfId="6" applyNumberFormat="1" applyFont="1" applyBorder="1" applyAlignment="1">
      <alignment horizontal="center" vertical="center"/>
    </xf>
    <xf numFmtId="0" fontId="31" fillId="0" borderId="7" xfId="6" applyBorder="1" applyAlignment="1">
      <alignment horizontal="center" vertical="center"/>
    </xf>
    <xf numFmtId="2" fontId="31" fillId="0" borderId="5" xfId="6" applyNumberFormat="1" applyBorder="1" applyAlignment="1">
      <alignment horizontal="center" vertical="center"/>
    </xf>
    <xf numFmtId="2" fontId="5" fillId="0" borderId="1" xfId="6" applyNumberFormat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164" fontId="5" fillId="0" borderId="1" xfId="6" applyNumberFormat="1" applyFont="1" applyBorder="1" applyAlignment="1">
      <alignment horizontal="center" vertical="center"/>
    </xf>
    <xf numFmtId="1" fontId="5" fillId="0" borderId="1" xfId="6" applyNumberFormat="1" applyFont="1" applyBorder="1" applyAlignment="1">
      <alignment horizontal="center" vertical="center"/>
    </xf>
    <xf numFmtId="2" fontId="31" fillId="0" borderId="1" xfId="6" applyNumberForma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2" fontId="5" fillId="0" borderId="5" xfId="6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28" xfId="6" applyFont="1" applyBorder="1"/>
    <xf numFmtId="0" fontId="33" fillId="0" borderId="42" xfId="6" applyFont="1" applyBorder="1"/>
    <xf numFmtId="0" fontId="5" fillId="0" borderId="26" xfId="6" applyFont="1" applyBorder="1"/>
    <xf numFmtId="0" fontId="42" fillId="0" borderId="23" xfId="2" applyFont="1" applyBorder="1" applyAlignment="1">
      <alignment horizontal="left" vertical="center"/>
    </xf>
    <xf numFmtId="0" fontId="8" fillId="0" borderId="24" xfId="2" applyFont="1" applyBorder="1" applyAlignment="1">
      <alignment horizontal="left" vertical="center"/>
    </xf>
    <xf numFmtId="0" fontId="5" fillId="0" borderId="24" xfId="6" applyFont="1" applyBorder="1"/>
    <xf numFmtId="0" fontId="8" fillId="0" borderId="28" xfId="2" applyFont="1" applyBorder="1" applyAlignment="1">
      <alignment horizontal="center" vertical="center"/>
    </xf>
    <xf numFmtId="0" fontId="8" fillId="0" borderId="29" xfId="2" applyFont="1" applyBorder="1" applyAlignment="1">
      <alignment horizontal="left" vertical="center"/>
    </xf>
    <xf numFmtId="0" fontId="5" fillId="0" borderId="47" xfId="2" applyBorder="1" applyAlignment="1">
      <alignment horizontal="center" vertical="center"/>
    </xf>
    <xf numFmtId="2" fontId="5" fillId="0" borderId="1" xfId="2" applyNumberFormat="1" applyBorder="1" applyAlignment="1">
      <alignment horizontal="center" vertical="center"/>
    </xf>
    <xf numFmtId="2" fontId="5" fillId="0" borderId="47" xfId="2" applyNumberFormat="1" applyBorder="1" applyAlignment="1">
      <alignment horizontal="center" vertical="center"/>
    </xf>
    <xf numFmtId="165" fontId="5" fillId="0" borderId="1" xfId="2" applyNumberFormat="1" applyBorder="1" applyAlignment="1">
      <alignment horizontal="center" vertical="center"/>
    </xf>
    <xf numFmtId="164" fontId="5" fillId="0" borderId="1" xfId="2" applyNumberFormat="1" applyBorder="1" applyAlignment="1">
      <alignment horizontal="center" vertical="center"/>
    </xf>
    <xf numFmtId="165" fontId="5" fillId="0" borderId="47" xfId="2" applyNumberFormat="1" applyBorder="1" applyAlignment="1">
      <alignment horizontal="center" vertical="center"/>
    </xf>
    <xf numFmtId="164" fontId="5" fillId="0" borderId="47" xfId="2" applyNumberFormat="1" applyBorder="1" applyAlignment="1">
      <alignment horizontal="center" vertical="center"/>
    </xf>
    <xf numFmtId="1" fontId="5" fillId="0" borderId="47" xfId="2" applyNumberFormat="1" applyBorder="1" applyAlignment="1">
      <alignment horizontal="center" vertical="center"/>
    </xf>
    <xf numFmtId="1" fontId="5" fillId="0" borderId="1" xfId="2" applyNumberFormat="1" applyBorder="1" applyAlignment="1">
      <alignment horizontal="center" vertical="center"/>
    </xf>
    <xf numFmtId="0" fontId="5" fillId="3" borderId="54" xfId="2" applyFill="1" applyBorder="1" applyAlignment="1">
      <alignment horizontal="center" vertical="center" wrapText="1"/>
    </xf>
    <xf numFmtId="0" fontId="5" fillId="3" borderId="49" xfId="2" applyFill="1" applyBorder="1" applyAlignment="1">
      <alignment horizontal="center" vertical="center" wrapText="1"/>
    </xf>
    <xf numFmtId="0" fontId="5" fillId="3" borderId="55" xfId="2" applyFill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165" fontId="5" fillId="3" borderId="54" xfId="2" applyNumberFormat="1" applyFill="1" applyBorder="1" applyAlignment="1">
      <alignment horizontal="center" vertical="center" wrapText="1"/>
    </xf>
    <xf numFmtId="164" fontId="5" fillId="2" borderId="1" xfId="6" applyNumberFormat="1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 wrapText="1"/>
    </xf>
    <xf numFmtId="0" fontId="48" fillId="0" borderId="1" xfId="4" applyFont="1" applyBorder="1" applyAlignment="1">
      <alignment vertical="center" wrapText="1"/>
    </xf>
    <xf numFmtId="0" fontId="5" fillId="0" borderId="1" xfId="2" applyBorder="1" applyAlignment="1">
      <alignment vertical="center"/>
    </xf>
    <xf numFmtId="1" fontId="5" fillId="0" borderId="1" xfId="2" applyNumberFormat="1" applyBorder="1" applyAlignment="1">
      <alignment vertical="center"/>
    </xf>
    <xf numFmtId="0" fontId="8" fillId="0" borderId="47" xfId="4" applyFont="1" applyBorder="1" applyAlignment="1">
      <alignment vertical="center" wrapText="1"/>
    </xf>
    <xf numFmtId="0" fontId="5" fillId="0" borderId="56" xfId="2" applyBorder="1" applyAlignment="1">
      <alignment horizontal="center" vertical="center"/>
    </xf>
    <xf numFmtId="0" fontId="5" fillId="0" borderId="57" xfId="2" applyBorder="1" applyAlignment="1">
      <alignment horizontal="center" vertical="center"/>
    </xf>
    <xf numFmtId="0" fontId="5" fillId="0" borderId="58" xfId="2" applyBorder="1" applyAlignment="1">
      <alignment horizontal="center" vertical="center"/>
    </xf>
    <xf numFmtId="0" fontId="5" fillId="0" borderId="5" xfId="2" applyBorder="1" applyAlignment="1">
      <alignment horizontal="center" vertical="center"/>
    </xf>
    <xf numFmtId="0" fontId="5" fillId="3" borderId="46" xfId="2" applyFill="1" applyBorder="1" applyAlignment="1">
      <alignment horizontal="center" vertical="center" wrapText="1"/>
    </xf>
    <xf numFmtId="0" fontId="8" fillId="0" borderId="45" xfId="4" applyFont="1" applyBorder="1" applyAlignment="1">
      <alignment vertical="center" wrapText="1"/>
    </xf>
    <xf numFmtId="1" fontId="5" fillId="0" borderId="1" xfId="2" applyNumberFormat="1" applyBorder="1" applyAlignment="1">
      <alignment horizontal="center" vertical="center"/>
    </xf>
    <xf numFmtId="0" fontId="5" fillId="0" borderId="24" xfId="2" applyBorder="1" applyAlignment="1">
      <alignment horizontal="center" vertical="center"/>
    </xf>
    <xf numFmtId="0" fontId="5" fillId="0" borderId="25" xfId="2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27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5" fillId="0" borderId="30" xfId="2" applyBorder="1" applyAlignment="1">
      <alignment horizontal="center" vertical="center"/>
    </xf>
    <xf numFmtId="0" fontId="36" fillId="0" borderId="28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7" fillId="0" borderId="23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8" fillId="2" borderId="50" xfId="2" applyFont="1" applyFill="1" applyBorder="1" applyAlignment="1">
      <alignment horizontal="center" vertical="center" wrapText="1"/>
    </xf>
    <xf numFmtId="0" fontId="8" fillId="2" borderId="51" xfId="2" applyFont="1" applyFill="1" applyBorder="1" applyAlignment="1">
      <alignment horizontal="center" vertical="center" wrapText="1"/>
    </xf>
    <xf numFmtId="0" fontId="8" fillId="2" borderId="52" xfId="2" applyFont="1" applyFill="1" applyBorder="1" applyAlignment="1">
      <alignment horizontal="center" vertical="center" wrapText="1"/>
    </xf>
    <xf numFmtId="0" fontId="8" fillId="2" borderId="53" xfId="2" applyFont="1" applyFill="1" applyBorder="1" applyAlignment="1">
      <alignment horizontal="center" vertical="center" wrapText="1"/>
    </xf>
    <xf numFmtId="0" fontId="8" fillId="2" borderId="44" xfId="2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 vertical="center" wrapText="1"/>
    </xf>
    <xf numFmtId="0" fontId="8" fillId="2" borderId="53" xfId="2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horizontal="center" vertical="center"/>
    </xf>
    <xf numFmtId="0" fontId="40" fillId="0" borderId="1" xfId="8" applyFont="1" applyBorder="1" applyAlignment="1">
      <alignment horizontal="center"/>
    </xf>
    <xf numFmtId="0" fontId="41" fillId="0" borderId="1" xfId="8" applyFont="1" applyBorder="1" applyAlignment="1">
      <alignment horizontal="center"/>
    </xf>
    <xf numFmtId="0" fontId="46" fillId="0" borderId="1" xfId="8" applyFont="1" applyBorder="1" applyAlignment="1">
      <alignment horizontal="center" vertical="center" wrapText="1"/>
    </xf>
    <xf numFmtId="0" fontId="32" fillId="0" borderId="1" xfId="8" applyFont="1" applyBorder="1" applyAlignment="1">
      <alignment horizontal="center" vertical="center" wrapText="1"/>
    </xf>
    <xf numFmtId="0" fontId="37" fillId="0" borderId="1" xfId="8" applyFont="1" applyBorder="1" applyAlignment="1">
      <alignment horizontal="center" vertical="center" wrapText="1"/>
    </xf>
    <xf numFmtId="0" fontId="38" fillId="0" borderId="1" xfId="8" applyFont="1" applyBorder="1" applyAlignment="1">
      <alignment horizontal="center" vertical="center" wrapText="1"/>
    </xf>
    <xf numFmtId="0" fontId="38" fillId="2" borderId="1" xfId="8" applyFont="1" applyFill="1" applyBorder="1" applyAlignment="1">
      <alignment horizontal="center" vertical="center" wrapText="1"/>
    </xf>
    <xf numFmtId="0" fontId="39" fillId="2" borderId="1" xfId="8" applyFont="1" applyFill="1" applyBorder="1" applyAlignment="1">
      <alignment horizontal="center" vertical="center" wrapText="1"/>
    </xf>
    <xf numFmtId="0" fontId="39" fillId="0" borderId="1" xfId="8" applyFont="1" applyBorder="1" applyAlignment="1">
      <alignment horizontal="center" vertical="center" wrapText="1"/>
    </xf>
    <xf numFmtId="0" fontId="21" fillId="4" borderId="8" xfId="3" applyFont="1" applyFill="1" applyBorder="1" applyAlignment="1" applyProtection="1">
      <alignment horizontal="left" vertical="center"/>
      <protection locked="0"/>
    </xf>
    <xf numFmtId="14" fontId="21" fillId="4" borderId="8" xfId="3" applyNumberFormat="1" applyFont="1" applyFill="1" applyBorder="1" applyAlignment="1" applyProtection="1">
      <alignment horizontal="left" vertical="center"/>
      <protection locked="0"/>
    </xf>
    <xf numFmtId="0" fontId="20" fillId="4" borderId="8" xfId="3" applyFont="1" applyFill="1" applyBorder="1" applyAlignment="1" applyProtection="1">
      <alignment horizontal="left" vertical="center"/>
      <protection locked="0"/>
    </xf>
    <xf numFmtId="0" fontId="21" fillId="4" borderId="9" xfId="3" applyFont="1" applyFill="1" applyBorder="1" applyAlignment="1" applyProtection="1">
      <alignment horizontal="center" vertical="center" wrapText="1"/>
      <protection locked="0"/>
    </xf>
    <xf numFmtId="0" fontId="21" fillId="4" borderId="8" xfId="3" applyFont="1" applyFill="1" applyBorder="1" applyAlignment="1" applyProtection="1">
      <alignment horizontal="center" vertical="center" wrapText="1"/>
      <protection locked="0"/>
    </xf>
    <xf numFmtId="0" fontId="5" fillId="0" borderId="38" xfId="2" applyBorder="1" applyAlignment="1">
      <alignment horizontal="center" vertical="center"/>
    </xf>
    <xf numFmtId="0" fontId="5" fillId="0" borderId="36" xfId="2" applyBorder="1" applyAlignment="1">
      <alignment horizontal="center" vertical="center"/>
    </xf>
    <xf numFmtId="0" fontId="5" fillId="0" borderId="40" xfId="2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5" fillId="0" borderId="45" xfId="4" applyBorder="1" applyAlignment="1">
      <alignment horizontal="center" vertical="center" wrapText="1"/>
    </xf>
    <xf numFmtId="0" fontId="5" fillId="0" borderId="47" xfId="4" applyBorder="1" applyAlignment="1">
      <alignment horizontal="center" vertical="center" wrapText="1"/>
    </xf>
    <xf numFmtId="0" fontId="5" fillId="0" borderId="46" xfId="4" applyBorder="1" applyAlignment="1">
      <alignment horizontal="center" vertical="center" wrapText="1"/>
    </xf>
    <xf numFmtId="0" fontId="5" fillId="2" borderId="43" xfId="6" applyFont="1" applyFill="1" applyBorder="1" applyAlignment="1">
      <alignment horizontal="center" vertical="center" wrapText="1"/>
    </xf>
    <xf numFmtId="0" fontId="5" fillId="2" borderId="34" xfId="6" applyFont="1" applyFill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0" fontId="5" fillId="0" borderId="7" xfId="6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center" vertical="center" wrapText="1"/>
    </xf>
    <xf numFmtId="0" fontId="5" fillId="0" borderId="45" xfId="2" applyBorder="1" applyAlignment="1">
      <alignment horizontal="center" vertical="center"/>
    </xf>
    <xf numFmtId="0" fontId="5" fillId="0" borderId="46" xfId="2" applyBorder="1" applyAlignment="1">
      <alignment horizontal="center" vertical="center"/>
    </xf>
    <xf numFmtId="0" fontId="5" fillId="0" borderId="47" xfId="2" applyBorder="1" applyAlignment="1">
      <alignment horizontal="center" vertical="center"/>
    </xf>
    <xf numFmtId="0" fontId="11" fillId="0" borderId="2" xfId="5" applyBorder="1" applyAlignment="1">
      <alignment horizontal="center"/>
    </xf>
    <xf numFmtId="0" fontId="11" fillId="0" borderId="3" xfId="5" applyBorder="1" applyAlignment="1">
      <alignment horizontal="center"/>
    </xf>
    <xf numFmtId="0" fontId="11" fillId="0" borderId="1" xfId="5" applyBorder="1" applyAlignment="1">
      <alignment horizontal="center"/>
    </xf>
    <xf numFmtId="0" fontId="11" fillId="0" borderId="6" xfId="5" applyBorder="1" applyAlignment="1">
      <alignment horizontal="center"/>
    </xf>
    <xf numFmtId="0" fontId="11" fillId="0" borderId="32" xfId="5" applyBorder="1" applyAlignment="1">
      <alignment horizontal="center"/>
    </xf>
    <xf numFmtId="0" fontId="11" fillId="0" borderId="33" xfId="5" applyBorder="1" applyAlignment="1">
      <alignment horizontal="center"/>
    </xf>
    <xf numFmtId="0" fontId="4" fillId="2" borderId="26" xfId="5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36" fillId="0" borderId="32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 wrapText="1"/>
    </xf>
    <xf numFmtId="165" fontId="5" fillId="2" borderId="47" xfId="2" applyNumberFormat="1" applyFill="1" applyBorder="1" applyAlignment="1">
      <alignment horizontal="center" vertical="center"/>
    </xf>
  </cellXfs>
  <cellStyles count="9">
    <cellStyle name="Normal" xfId="0" builtinId="0" customBuiltin="1"/>
    <cellStyle name="Normal 2" xfId="1" xr:uid="{00000000-0005-0000-0000-000001000000}"/>
    <cellStyle name="Normal 2 2" xfId="4" xr:uid="{42C2F98A-3BD0-43B7-AE60-68C5B0FC9120}"/>
    <cellStyle name="Normal 3" xfId="2" xr:uid="{00000000-0005-0000-0000-000002000000}"/>
    <cellStyle name="Normal 4" xfId="3" xr:uid="{7215E69E-03CE-4A91-9DA9-004F3A406A03}"/>
    <cellStyle name="Normal 4 2" xfId="5" xr:uid="{816390AD-4AF4-4481-8DD7-BF93D3F52AD6}"/>
    <cellStyle name="Normal 5" xfId="6" xr:uid="{B40D33A9-6DDD-41C2-8590-37A02BAE7232}"/>
    <cellStyle name="Normal 6" xfId="7" xr:uid="{6072E95C-12E4-4442-B58D-48D3C2026F1B}"/>
    <cellStyle name="Normal 7" xfId="8" xr:uid="{EE066596-B117-4FEB-A400-EF0CEB712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396240</xdr:colOff>
      <xdr:row>35</xdr:row>
      <xdr:rowOff>99060</xdr:rowOff>
    </xdr:from>
    <xdr:ext cx="999981" cy="569595"/>
    <xdr:pic>
      <xdr:nvPicPr>
        <xdr:cNvPr id="3" name="Picture 30" descr="rhdhv-logo">
          <a:extLst>
            <a:ext uri="{FF2B5EF4-FFF2-40B4-BE49-F238E27FC236}">
              <a16:creationId xmlns:a16="http://schemas.microsoft.com/office/drawing/2014/main" id="{943B0F23-62C7-42BB-8567-A4A3C288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0990" y="6544310"/>
          <a:ext cx="999981" cy="569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152400</xdr:colOff>
      <xdr:row>1</xdr:row>
      <xdr:rowOff>152400</xdr:rowOff>
    </xdr:from>
    <xdr:to>
      <xdr:col>39</xdr:col>
      <xdr:colOff>79464</xdr:colOff>
      <xdr:row>8</xdr:row>
      <xdr:rowOff>38100</xdr:rowOff>
    </xdr:to>
    <xdr:pic>
      <xdr:nvPicPr>
        <xdr:cNvPr id="2" name="Picture 11" descr="RHDHV-logo-download.jpg">
          <a:extLst>
            <a:ext uri="{FF2B5EF4-FFF2-40B4-BE49-F238E27FC236}">
              <a16:creationId xmlns:a16="http://schemas.microsoft.com/office/drawing/2014/main" id="{B5CFFE97-8F56-4A18-900B-558CF4472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1700" y="320040"/>
          <a:ext cx="1725384" cy="830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21982</xdr:colOff>
      <xdr:row>77</xdr:row>
      <xdr:rowOff>154980</xdr:rowOff>
    </xdr:from>
    <xdr:to>
      <xdr:col>26</xdr:col>
      <xdr:colOff>207565</xdr:colOff>
      <xdr:row>79</xdr:row>
      <xdr:rowOff>39914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4D709C-25C3-40B2-99D5-55FCBC29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8125" y="13081766"/>
          <a:ext cx="702654" cy="229648"/>
        </a:xfrm>
        <a:prstGeom prst="rect">
          <a:avLst/>
        </a:prstGeom>
      </xdr:spPr>
    </xdr:pic>
    <xdr:clientData/>
  </xdr:twoCellAnchor>
  <xdr:twoCellAnchor editAs="oneCell">
    <xdr:from>
      <xdr:col>7</xdr:col>
      <xdr:colOff>56514</xdr:colOff>
      <xdr:row>77</xdr:row>
      <xdr:rowOff>133350</xdr:rowOff>
    </xdr:from>
    <xdr:to>
      <xdr:col>22</xdr:col>
      <xdr:colOff>116738</xdr:colOff>
      <xdr:row>92</xdr:row>
      <xdr:rowOff>9071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1BF53E-B357-9CE5-8D54-4483A0B6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371" y="13060136"/>
          <a:ext cx="2718153" cy="2461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69950</xdr:colOff>
      <xdr:row>0</xdr:row>
      <xdr:rowOff>40409</xdr:rowOff>
    </xdr:from>
    <xdr:ext cx="1733449" cy="1024001"/>
    <xdr:pic>
      <xdr:nvPicPr>
        <xdr:cNvPr id="4" name="Picture 30" descr="rhdhv-logo">
          <a:extLst>
            <a:ext uri="{FF2B5EF4-FFF2-40B4-BE49-F238E27FC236}">
              <a16:creationId xmlns:a16="http://schemas.microsoft.com/office/drawing/2014/main" id="{3C50CEC0-8470-43B5-8308-96074951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850" y="40409"/>
          <a:ext cx="1733449" cy="102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131124</xdr:colOff>
      <xdr:row>6</xdr:row>
      <xdr:rowOff>70756</xdr:rowOff>
    </xdr:from>
    <xdr:to>
      <xdr:col>36</xdr:col>
      <xdr:colOff>522514</xdr:colOff>
      <xdr:row>35</xdr:row>
      <xdr:rowOff>253877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46F79-45C2-4E5D-84E5-94DEA4CB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2381" y="2247899"/>
          <a:ext cx="10025247" cy="8020835"/>
        </a:xfrm>
        <a:prstGeom prst="rect">
          <a:avLst/>
        </a:prstGeom>
      </xdr:spPr>
    </xdr:pic>
    <xdr:clientData/>
  </xdr:twoCellAnchor>
  <xdr:oneCellAnchor>
    <xdr:from>
      <xdr:col>18</xdr:col>
      <xdr:colOff>225319</xdr:colOff>
      <xdr:row>0</xdr:row>
      <xdr:rowOff>120795</xdr:rowOff>
    </xdr:from>
    <xdr:ext cx="1552681" cy="917216"/>
    <xdr:pic>
      <xdr:nvPicPr>
        <xdr:cNvPr id="4" name="Picture 30" descr="rhdhv-logo">
          <a:extLst>
            <a:ext uri="{FF2B5EF4-FFF2-40B4-BE49-F238E27FC236}">
              <a16:creationId xmlns:a16="http://schemas.microsoft.com/office/drawing/2014/main" id="{05EB7FB3-AED0-4922-B9A0-949F55B49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9137" y="120795"/>
          <a:ext cx="1552681" cy="9172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220133</xdr:colOff>
      <xdr:row>6</xdr:row>
      <xdr:rowOff>52917</xdr:rowOff>
    </xdr:from>
    <xdr:to>
      <xdr:col>4</xdr:col>
      <xdr:colOff>266638</xdr:colOff>
      <xdr:row>21</xdr:row>
      <xdr:rowOff>60537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20EAA96-05F2-4846-B7D9-95331CC8E4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876"/>
        <a:stretch/>
      </xdr:blipFill>
      <xdr:spPr bwMode="auto">
        <a:xfrm>
          <a:off x="220133" y="1873250"/>
          <a:ext cx="4076700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160317</xdr:colOff>
      <xdr:row>0</xdr:row>
      <xdr:rowOff>312794</xdr:rowOff>
    </xdr:from>
    <xdr:ext cx="1224293" cy="723227"/>
    <xdr:pic>
      <xdr:nvPicPr>
        <xdr:cNvPr id="4" name="Picture 30" descr="rhdhv-logo">
          <a:extLst>
            <a:ext uri="{FF2B5EF4-FFF2-40B4-BE49-F238E27FC236}">
              <a16:creationId xmlns:a16="http://schemas.microsoft.com/office/drawing/2014/main" id="{47F2507F-981B-415A-9BCA-4E96447DD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4082" y="312794"/>
          <a:ext cx="1224293" cy="723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324972</xdr:colOff>
      <xdr:row>2</xdr:row>
      <xdr:rowOff>44450</xdr:rowOff>
    </xdr:from>
    <xdr:to>
      <xdr:col>10</xdr:col>
      <xdr:colOff>405232</xdr:colOff>
      <xdr:row>23</xdr:row>
      <xdr:rowOff>75621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A8B85-3BF1-51D8-D97E-1D186244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72" y="385109"/>
          <a:ext cx="5566660" cy="36080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225.%20LSP\300%20Technical%20Data\302%20Calculations\Basic%20Design\01%20INPUT\LOADING\Berthing%20Load\BERTHING%20ENERGY%20CALCS%20TOO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orporateroot.sharepoint.com/sites/Project-di1635/Team/WIP/07.%20Working%20Drawings/09%20Mech/External%20Layout%20(With%20Latest%20xref)/S4_P01/Storm%20water%20network/Ramayya%20Storm%20water/Referece%20docs/Mauritania/DI1324-RHD-P1-OS-CA-CE-0111_S4P03%20.xlsx?D5DF467E" TargetMode="External"/><Relationship Id="rId1" Type="http://schemas.openxmlformats.org/officeDocument/2006/relationships/externalLinkPath" Target="file:///\\D5DF467E\DI1324-RHD-P1-OS-CA-CE-0111_S4P03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orateroot.sharepoint.com/personal/suvidha_yadav_rhdhv_com/Documents/Suvidha%202020%20to%202023%20data/congo/CONGO-/storm%20water%20cal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5N0002\TECHNICAL%20DATA\E08%20Working%20document\RATE%20ANALYSIS%20for%20Marine%20Hard%20@%20Southern%20Group%20of%20Islands-pswd-goril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FOR USERS"/>
      <sheetName val="CALCULATIONS"/>
      <sheetName val="DISPLACEMENT"/>
      <sheetName val="NOTE_FOR_USERS"/>
    </sheetNames>
    <sheetDataSet>
      <sheetData sheetId="0" refreshError="1"/>
      <sheetData sheetId="1">
        <row r="87">
          <cell r="BC87" t="str">
            <v>Yes</v>
          </cell>
        </row>
        <row r="88">
          <cell r="BC88" t="str">
            <v>No</v>
          </cell>
        </row>
      </sheetData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D-01"/>
      <sheetName val="SD-02"/>
      <sheetName val="Platform - Sea side - Parallel"/>
      <sheetName val="QMS"/>
      <sheetName val="img"/>
      <sheetName val="BEL-04a"/>
      <sheetName val="BEL-11 (2)"/>
      <sheetName val="SD-03"/>
      <sheetName val="Sheet4"/>
      <sheetName val="BL-09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ing page"/>
      <sheetName val="storm water calc-RATIONAL"/>
      <sheetName val="SD-01"/>
      <sheetName val="SD-02"/>
      <sheetName val="Platform - Sea side - Parallel"/>
      <sheetName val="QMS"/>
      <sheetName val="img"/>
      <sheetName val="BEL-04a"/>
      <sheetName val="BEL-11 (2)"/>
      <sheetName val="pointe noire-congo"/>
      <sheetName val="SD-03"/>
      <sheetName val="Sheet4"/>
      <sheetName val="BL-09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TERIAL RATES"/>
      <sheetName val="ITEM RATES"/>
      <sheetName val="QUARRY00"/>
      <sheetName val="Sheet5"/>
      <sheetName val="EW01"/>
      <sheetName val="PCC02"/>
      <sheetName val="RCC03"/>
      <sheetName val="DESIGN MIX03A"/>
      <sheetName val="FINISH04"/>
      <sheetName val="FLOORING05"/>
      <sheetName val="DOOR WIN."/>
      <sheetName val="ROAD07"/>
      <sheetName val="STRUCTURAL08"/>
      <sheetName val="ROOFING"/>
      <sheetName val="SANITORY10"/>
      <sheetName val="DISMANTLING09"/>
      <sheetName val="PILING11"/>
      <sheetName val="WATER SUPPLY12"/>
      <sheetName val="ELECTWORKS13"/>
      <sheetName val="Elect. Works"/>
      <sheetName val="Bored Piles"/>
      <sheetName val="Sheet7"/>
      <sheetName val="Sheet6"/>
      <sheetName val="Marine Works"/>
      <sheetName val="Special Works"/>
      <sheetName val="HIRECHARGES"/>
      <sheetName val="TRANS.RATE"/>
      <sheetName val="RGT TRANS.RATE "/>
      <sheetName val="TIMBER RATE"/>
      <sheetName val="Hire Charges Ktaka"/>
      <sheetName val="Labr wages"/>
      <sheetName val="BHD"/>
      <sheetName val="Sheet1"/>
      <sheetName val="Sheet2"/>
      <sheetName val="Sheet3"/>
      <sheetName val="Sheet4"/>
      <sheetName val="Special Works2"/>
      <sheetName val="Sheet8"/>
      <sheetName val="MATERIAL_RATES"/>
      <sheetName val="ITEM_RATES"/>
      <sheetName val="DESIGN_MIX03A"/>
      <sheetName val="DOOR_WIN_"/>
      <sheetName val="WATER_SUPPLY12"/>
      <sheetName val="Elect__Works"/>
      <sheetName val="Bored_Piles"/>
      <sheetName val="Marine_Works"/>
      <sheetName val="Special_Works"/>
      <sheetName val="TRANS_RATE"/>
      <sheetName val="RGT_TRANS_RATE_"/>
      <sheetName val="TIMBER_RATE"/>
      <sheetName val="Hire_Charges_Ktaka"/>
      <sheetName val="Labr_wages"/>
      <sheetName val="Special_Works2"/>
      <sheetName val="MATERIAL_RATES1"/>
      <sheetName val="ITEM_RATES1"/>
      <sheetName val="DESIGN_MIX03A1"/>
      <sheetName val="DOOR_WIN_1"/>
      <sheetName val="WATER_SUPPLY121"/>
      <sheetName val="Elect__Works1"/>
      <sheetName val="Bored_Piles1"/>
      <sheetName val="Marine_Works1"/>
      <sheetName val="Special_Works1"/>
      <sheetName val="TRANS_RATE1"/>
      <sheetName val="RGT_TRANS_RATE_1"/>
      <sheetName val="TIMBER_RATE1"/>
      <sheetName val="Hire_Charges_Ktaka1"/>
      <sheetName val="Labr_wages1"/>
      <sheetName val="Special_Works21"/>
      <sheetName val="MATERIAL_RATES2"/>
      <sheetName val="ITEM_RATES2"/>
      <sheetName val="DESIGN_MIX03A2"/>
      <sheetName val="DOOR_WIN_2"/>
      <sheetName val="WATER_SUPPLY122"/>
      <sheetName val="Elect__Works2"/>
      <sheetName val="Bored_Piles2"/>
      <sheetName val="Marine_Works2"/>
      <sheetName val="Special_Works3"/>
      <sheetName val="TRANS_RATE2"/>
      <sheetName val="RGT_TRANS_RATE_2"/>
      <sheetName val="TIMBER_RATE2"/>
      <sheetName val="Hire_Charges_Ktaka2"/>
      <sheetName val="Labr_wages2"/>
      <sheetName val="Special_Works22"/>
    </sheetNames>
    <sheetDataSet>
      <sheetData sheetId="0"/>
      <sheetData sheetId="1">
        <row r="33">
          <cell r="C33" t="str">
            <v>MRATE</v>
          </cell>
        </row>
        <row r="34">
          <cell r="C34" t="str">
            <v>Cement</v>
          </cell>
          <cell r="D34">
            <v>252.5</v>
          </cell>
          <cell r="E34" t="str">
            <v>bags</v>
          </cell>
          <cell r="G34">
            <v>346</v>
          </cell>
          <cell r="H34">
            <v>346</v>
          </cell>
          <cell r="I34">
            <v>354</v>
          </cell>
          <cell r="J34">
            <v>299</v>
          </cell>
          <cell r="K34">
            <v>335</v>
          </cell>
          <cell r="L34">
            <v>314</v>
          </cell>
          <cell r="M34">
            <v>389</v>
          </cell>
          <cell r="N34">
            <v>354</v>
          </cell>
          <cell r="O34">
            <v>354</v>
          </cell>
        </row>
        <row r="35">
          <cell r="C35" t="str">
            <v>Mainland river Sand</v>
          </cell>
          <cell r="D35">
            <v>2623</v>
          </cell>
          <cell r="E35" t="str">
            <v>Cum</v>
          </cell>
          <cell r="F35" t="str">
            <v xml:space="preserve">Rates from  A.C.E. Office  </v>
          </cell>
          <cell r="G35">
            <v>5240</v>
          </cell>
          <cell r="H35">
            <v>5481</v>
          </cell>
          <cell r="I35">
            <v>6493</v>
          </cell>
          <cell r="J35">
            <v>4012</v>
          </cell>
          <cell r="K35">
            <v>5096</v>
          </cell>
          <cell r="L35">
            <v>4522</v>
          </cell>
          <cell r="M35">
            <v>5808</v>
          </cell>
          <cell r="N35">
            <v>5808</v>
          </cell>
          <cell r="O35">
            <v>5808</v>
          </cell>
        </row>
        <row r="36">
          <cell r="C36" t="str">
            <v>Pulverised Stone sand</v>
          </cell>
          <cell r="D36">
            <v>703</v>
          </cell>
          <cell r="E36" t="str">
            <v>Cum</v>
          </cell>
          <cell r="F36" t="str">
            <v xml:space="preserve">Rates from  A.C.E. Office  </v>
          </cell>
          <cell r="G36">
            <v>782</v>
          </cell>
          <cell r="H36">
            <v>3405</v>
          </cell>
          <cell r="I36">
            <v>4336</v>
          </cell>
          <cell r="J36">
            <v>779</v>
          </cell>
          <cell r="K36">
            <v>779</v>
          </cell>
          <cell r="L36">
            <v>779</v>
          </cell>
          <cell r="M36">
            <v>3712</v>
          </cell>
          <cell r="N36">
            <v>3712</v>
          </cell>
          <cell r="O36">
            <v>3712</v>
          </cell>
        </row>
        <row r="37">
          <cell r="C37" t="str">
            <v>Local sea sand</v>
          </cell>
          <cell r="E37" t="str">
            <v>Cum</v>
          </cell>
          <cell r="F37" t="str">
            <v xml:space="preserve">Rates from  A.C.E. Office  </v>
          </cell>
        </row>
        <row r="38">
          <cell r="C38" t="str">
            <v>Quarry dust</v>
          </cell>
          <cell r="D38">
            <v>659</v>
          </cell>
          <cell r="E38" t="str">
            <v>Cum</v>
          </cell>
          <cell r="F38" t="str">
            <v xml:space="preserve">Rates from  A.C.E. Office  </v>
          </cell>
          <cell r="G38">
            <v>738</v>
          </cell>
          <cell r="H38">
            <v>3300</v>
          </cell>
          <cell r="I38">
            <v>4233</v>
          </cell>
          <cell r="J38">
            <v>735</v>
          </cell>
          <cell r="K38">
            <v>735</v>
          </cell>
          <cell r="L38">
            <v>735</v>
          </cell>
          <cell r="M38">
            <v>3666</v>
          </cell>
          <cell r="N38">
            <v>3666</v>
          </cell>
          <cell r="O38">
            <v>3666</v>
          </cell>
        </row>
        <row r="39">
          <cell r="C39" t="str">
            <v>Plastisizer/ Super plastisizer</v>
          </cell>
          <cell r="D39">
            <v>82.4</v>
          </cell>
          <cell r="E39" t="str">
            <v>Kg/ltr</v>
          </cell>
          <cell r="F39" t="str">
            <v>PR-135/Vol-II/LSO-48/510</v>
          </cell>
          <cell r="G39">
            <v>94.76</v>
          </cell>
          <cell r="H39">
            <v>94.76</v>
          </cell>
          <cell r="I39">
            <v>103</v>
          </cell>
          <cell r="J39">
            <v>86.52000000000001</v>
          </cell>
          <cell r="K39">
            <v>88.992000000000019</v>
          </cell>
          <cell r="L39">
            <v>86.52000000000001</v>
          </cell>
          <cell r="M39">
            <v>118.45</v>
          </cell>
          <cell r="N39">
            <v>128.75</v>
          </cell>
          <cell r="O39">
            <v>108.15</v>
          </cell>
        </row>
        <row r="40">
          <cell r="C40" t="str">
            <v>Silica fume( Mineral Admixture)</v>
          </cell>
          <cell r="D40">
            <v>39.050000000000004</v>
          </cell>
          <cell r="E40" t="str">
            <v>kg</v>
          </cell>
          <cell r="F40" t="str">
            <v>ACE/DD/PR-42/Vol-I/Lso-4040/7219 dt 5/11/05</v>
          </cell>
          <cell r="G40">
            <v>44.907499999999999</v>
          </cell>
          <cell r="H40">
            <v>44.907499999999999</v>
          </cell>
          <cell r="I40">
            <v>48.812500000000007</v>
          </cell>
          <cell r="J40">
            <v>41.002500000000005</v>
          </cell>
          <cell r="K40">
            <v>42.174000000000007</v>
          </cell>
          <cell r="L40">
            <v>41.002500000000005</v>
          </cell>
          <cell r="M40">
            <v>56.134374999999999</v>
          </cell>
          <cell r="N40">
            <v>61.015625000000007</v>
          </cell>
          <cell r="O40">
            <v>51.253125000000004</v>
          </cell>
        </row>
        <row r="41">
          <cell r="C41" t="str">
            <v>Water proofing compound</v>
          </cell>
          <cell r="D41">
            <v>16</v>
          </cell>
          <cell r="E41" t="str">
            <v>Kg</v>
          </cell>
          <cell r="F41" t="str">
            <v>GRS234/52-9/97</v>
          </cell>
          <cell r="G41">
            <v>18.399999999999999</v>
          </cell>
          <cell r="H41">
            <v>18.399999999999999</v>
          </cell>
          <cell r="I41">
            <v>20</v>
          </cell>
          <cell r="J41">
            <v>16.8</v>
          </cell>
          <cell r="K41">
            <v>17.28</v>
          </cell>
          <cell r="L41">
            <v>16.8</v>
          </cell>
          <cell r="M41">
            <v>23</v>
          </cell>
          <cell r="N41">
            <v>25</v>
          </cell>
          <cell r="O41">
            <v>21</v>
          </cell>
        </row>
        <row r="42">
          <cell r="C42" t="str">
            <v>5.6 mm stone chips</v>
          </cell>
          <cell r="D42">
            <v>644</v>
          </cell>
          <cell r="E42" t="str">
            <v>Cum</v>
          </cell>
          <cell r="G42">
            <v>723</v>
          </cell>
          <cell r="H42">
            <v>3279</v>
          </cell>
          <cell r="I42">
            <v>4216</v>
          </cell>
          <cell r="J42">
            <v>721</v>
          </cell>
          <cell r="K42">
            <v>721</v>
          </cell>
          <cell r="L42">
            <v>721</v>
          </cell>
          <cell r="M42">
            <v>4216</v>
          </cell>
          <cell r="N42">
            <v>3579</v>
          </cell>
          <cell r="O42">
            <v>3579</v>
          </cell>
        </row>
        <row r="43">
          <cell r="C43" t="str">
            <v>6.7 mm stone chips</v>
          </cell>
          <cell r="D43">
            <v>631</v>
          </cell>
          <cell r="E43" t="str">
            <v>Cum</v>
          </cell>
          <cell r="G43">
            <v>710</v>
          </cell>
          <cell r="H43">
            <v>3265</v>
          </cell>
          <cell r="I43">
            <v>4202</v>
          </cell>
          <cell r="J43">
            <v>707</v>
          </cell>
          <cell r="K43">
            <v>707</v>
          </cell>
          <cell r="L43">
            <v>707</v>
          </cell>
          <cell r="M43">
            <v>4202</v>
          </cell>
          <cell r="N43">
            <v>3565</v>
          </cell>
          <cell r="O43">
            <v>3565</v>
          </cell>
        </row>
        <row r="44">
          <cell r="C44" t="str">
            <v>10 mm stone chips</v>
          </cell>
          <cell r="D44">
            <v>619</v>
          </cell>
          <cell r="E44" t="str">
            <v>Cum</v>
          </cell>
          <cell r="G44">
            <v>698</v>
          </cell>
          <cell r="H44">
            <v>3253</v>
          </cell>
          <cell r="I44">
            <v>4189</v>
          </cell>
          <cell r="J44">
            <v>695</v>
          </cell>
          <cell r="K44">
            <v>695</v>
          </cell>
          <cell r="L44">
            <v>695</v>
          </cell>
          <cell r="M44">
            <v>4189</v>
          </cell>
          <cell r="N44">
            <v>3552</v>
          </cell>
          <cell r="O44">
            <v>3552</v>
          </cell>
        </row>
        <row r="45">
          <cell r="C45" t="str">
            <v>11.2 mm stone chips</v>
          </cell>
          <cell r="D45">
            <v>608</v>
          </cell>
          <cell r="E45" t="str">
            <v>Cum</v>
          </cell>
          <cell r="G45">
            <v>687</v>
          </cell>
          <cell r="H45">
            <v>3241</v>
          </cell>
          <cell r="I45">
            <v>4178</v>
          </cell>
          <cell r="J45">
            <v>684</v>
          </cell>
          <cell r="K45">
            <v>684</v>
          </cell>
          <cell r="L45">
            <v>684</v>
          </cell>
          <cell r="M45">
            <v>4178</v>
          </cell>
          <cell r="N45">
            <v>3541</v>
          </cell>
          <cell r="O45">
            <v>3541</v>
          </cell>
        </row>
        <row r="46">
          <cell r="C46" t="str">
            <v xml:space="preserve">12.5 mm stone chips </v>
          </cell>
          <cell r="D46">
            <v>598</v>
          </cell>
          <cell r="E46" t="str">
            <v>Cum</v>
          </cell>
          <cell r="G46">
            <v>677</v>
          </cell>
          <cell r="H46">
            <v>3231</v>
          </cell>
          <cell r="I46">
            <v>4167</v>
          </cell>
          <cell r="J46">
            <v>674</v>
          </cell>
          <cell r="K46">
            <v>674</v>
          </cell>
          <cell r="L46">
            <v>674</v>
          </cell>
          <cell r="M46">
            <v>4167</v>
          </cell>
          <cell r="N46">
            <v>3530</v>
          </cell>
          <cell r="O46">
            <v>3530</v>
          </cell>
        </row>
        <row r="47">
          <cell r="C47" t="str">
            <v xml:space="preserve">13.2 mm stone chips </v>
          </cell>
          <cell r="D47">
            <v>589</v>
          </cell>
          <cell r="E47" t="str">
            <v>Cum</v>
          </cell>
          <cell r="G47">
            <v>668</v>
          </cell>
          <cell r="H47">
            <v>3221</v>
          </cell>
          <cell r="I47">
            <v>4156</v>
          </cell>
          <cell r="J47">
            <v>665</v>
          </cell>
          <cell r="K47">
            <v>665</v>
          </cell>
          <cell r="L47">
            <v>665</v>
          </cell>
          <cell r="M47">
            <v>4156</v>
          </cell>
          <cell r="N47">
            <v>3521</v>
          </cell>
          <cell r="O47">
            <v>3521</v>
          </cell>
        </row>
        <row r="48">
          <cell r="C48" t="str">
            <v>20 mm stone chips</v>
          </cell>
          <cell r="D48">
            <v>580</v>
          </cell>
          <cell r="E48" t="str">
            <v>Cum</v>
          </cell>
          <cell r="G48">
            <v>659</v>
          </cell>
          <cell r="H48">
            <v>2958</v>
          </cell>
          <cell r="I48">
            <v>3794</v>
          </cell>
          <cell r="J48">
            <v>657</v>
          </cell>
          <cell r="K48">
            <v>657</v>
          </cell>
          <cell r="L48">
            <v>657</v>
          </cell>
          <cell r="M48">
            <v>3794</v>
          </cell>
          <cell r="N48">
            <v>3225</v>
          </cell>
          <cell r="O48">
            <v>3225</v>
          </cell>
        </row>
        <row r="49">
          <cell r="C49" t="str">
            <v>40 mm stone metal</v>
          </cell>
          <cell r="D49">
            <v>539</v>
          </cell>
          <cell r="E49" t="str">
            <v>Cum</v>
          </cell>
          <cell r="G49">
            <v>618</v>
          </cell>
          <cell r="H49">
            <v>2915</v>
          </cell>
          <cell r="I49">
            <v>3751</v>
          </cell>
          <cell r="J49">
            <v>615</v>
          </cell>
          <cell r="K49">
            <v>615</v>
          </cell>
          <cell r="L49">
            <v>615</v>
          </cell>
          <cell r="M49">
            <v>3751</v>
          </cell>
          <cell r="N49">
            <v>3182</v>
          </cell>
          <cell r="O49">
            <v>3182</v>
          </cell>
        </row>
        <row r="50">
          <cell r="C50" t="str">
            <v>45 mm metal</v>
          </cell>
          <cell r="D50">
            <v>535</v>
          </cell>
          <cell r="E50" t="str">
            <v>Cum</v>
          </cell>
          <cell r="G50">
            <v>614</v>
          </cell>
          <cell r="H50">
            <v>2911</v>
          </cell>
          <cell r="I50">
            <v>3747</v>
          </cell>
          <cell r="J50">
            <v>611</v>
          </cell>
          <cell r="K50">
            <v>611</v>
          </cell>
          <cell r="L50">
            <v>611</v>
          </cell>
          <cell r="M50">
            <v>3747</v>
          </cell>
          <cell r="N50">
            <v>3178</v>
          </cell>
          <cell r="O50">
            <v>3178</v>
          </cell>
        </row>
        <row r="51">
          <cell r="C51" t="str">
            <v>53 mm metal</v>
          </cell>
          <cell r="D51">
            <v>531</v>
          </cell>
          <cell r="E51" t="str">
            <v>Cum</v>
          </cell>
          <cell r="G51">
            <v>610</v>
          </cell>
          <cell r="H51">
            <v>2906</v>
          </cell>
          <cell r="I51">
            <v>3743</v>
          </cell>
          <cell r="J51">
            <v>607</v>
          </cell>
          <cell r="K51">
            <v>607</v>
          </cell>
          <cell r="L51">
            <v>607</v>
          </cell>
          <cell r="M51">
            <v>3743</v>
          </cell>
          <cell r="N51">
            <v>3174</v>
          </cell>
          <cell r="O51">
            <v>3174</v>
          </cell>
        </row>
        <row r="52">
          <cell r="C52" t="str">
            <v>63 mm metal</v>
          </cell>
          <cell r="D52">
            <v>528</v>
          </cell>
          <cell r="E52" t="str">
            <v>Cum</v>
          </cell>
          <cell r="G52">
            <v>607</v>
          </cell>
          <cell r="H52">
            <v>2903</v>
          </cell>
          <cell r="I52">
            <v>3740</v>
          </cell>
          <cell r="J52">
            <v>604</v>
          </cell>
          <cell r="K52">
            <v>604</v>
          </cell>
          <cell r="L52">
            <v>604</v>
          </cell>
          <cell r="M52">
            <v>3740</v>
          </cell>
          <cell r="N52">
            <v>3171</v>
          </cell>
          <cell r="O52">
            <v>3171</v>
          </cell>
        </row>
        <row r="53">
          <cell r="C53" t="str">
            <v>90mm metal</v>
          </cell>
          <cell r="D53">
            <v>488</v>
          </cell>
          <cell r="E53" t="str">
            <v>Cum</v>
          </cell>
          <cell r="G53">
            <v>604</v>
          </cell>
          <cell r="H53">
            <v>2861</v>
          </cell>
          <cell r="I53">
            <v>3698</v>
          </cell>
          <cell r="J53">
            <v>601</v>
          </cell>
          <cell r="K53">
            <v>601</v>
          </cell>
          <cell r="L53">
            <v>601</v>
          </cell>
          <cell r="M53">
            <v>3698</v>
          </cell>
          <cell r="N53">
            <v>3129</v>
          </cell>
          <cell r="O53">
            <v>3129</v>
          </cell>
        </row>
        <row r="54">
          <cell r="C54" t="str">
            <v>125 mm metal</v>
          </cell>
          <cell r="D54">
            <v>485</v>
          </cell>
          <cell r="E54" t="str">
            <v>Cum</v>
          </cell>
          <cell r="G54">
            <v>601</v>
          </cell>
          <cell r="I54">
            <v>3708</v>
          </cell>
          <cell r="J54">
            <v>598</v>
          </cell>
          <cell r="K54">
            <v>598</v>
          </cell>
          <cell r="L54">
            <v>598</v>
          </cell>
          <cell r="M54">
            <v>3708</v>
          </cell>
          <cell r="N54">
            <v>3139</v>
          </cell>
          <cell r="O54">
            <v>3139</v>
          </cell>
        </row>
        <row r="55">
          <cell r="C55" t="str">
            <v>Stone boulder(15-25cm)</v>
          </cell>
          <cell r="D55">
            <v>498</v>
          </cell>
          <cell r="E55" t="str">
            <v>Cum</v>
          </cell>
          <cell r="G55">
            <v>577</v>
          </cell>
          <cell r="H55">
            <v>2671</v>
          </cell>
          <cell r="I55">
            <v>3708</v>
          </cell>
          <cell r="J55">
            <v>574</v>
          </cell>
          <cell r="K55">
            <v>574</v>
          </cell>
          <cell r="L55">
            <v>574</v>
          </cell>
          <cell r="M55">
            <v>3708</v>
          </cell>
          <cell r="N55">
            <v>3139</v>
          </cell>
          <cell r="O55">
            <v>3139</v>
          </cell>
        </row>
        <row r="56">
          <cell r="C56" t="str">
            <v>Stone boulder (20-30cm)</v>
          </cell>
          <cell r="D56">
            <v>498</v>
          </cell>
          <cell r="E56" t="str">
            <v>Cum</v>
          </cell>
          <cell r="G56">
            <v>577</v>
          </cell>
          <cell r="H56">
            <v>2671</v>
          </cell>
          <cell r="I56">
            <v>3708</v>
          </cell>
          <cell r="J56">
            <v>535</v>
          </cell>
          <cell r="K56">
            <v>535</v>
          </cell>
          <cell r="L56">
            <v>535</v>
          </cell>
          <cell r="M56">
            <v>3708</v>
          </cell>
          <cell r="N56">
            <v>3139</v>
          </cell>
          <cell r="O56">
            <v>3139</v>
          </cell>
        </row>
        <row r="57">
          <cell r="C57" t="str">
            <v>Moorum</v>
          </cell>
          <cell r="D57">
            <v>97</v>
          </cell>
          <cell r="E57" t="str">
            <v>Cum</v>
          </cell>
          <cell r="G57">
            <v>104</v>
          </cell>
          <cell r="H57">
            <v>104</v>
          </cell>
          <cell r="I57">
            <v>104</v>
          </cell>
          <cell r="J57">
            <v>97</v>
          </cell>
          <cell r="K57">
            <v>97</v>
          </cell>
          <cell r="L57">
            <v>97</v>
          </cell>
          <cell r="M57">
            <v>104</v>
          </cell>
          <cell r="N57">
            <v>104</v>
          </cell>
          <cell r="O57">
            <v>104</v>
          </cell>
        </row>
        <row r="58">
          <cell r="C58" t="str">
            <v>Red bajri</v>
          </cell>
          <cell r="D58">
            <v>97</v>
          </cell>
          <cell r="E58" t="str">
            <v>Cum</v>
          </cell>
          <cell r="G58">
            <v>104</v>
          </cell>
          <cell r="H58">
            <v>104</v>
          </cell>
          <cell r="I58">
            <v>104</v>
          </cell>
          <cell r="J58">
            <v>97</v>
          </cell>
          <cell r="K58">
            <v>97</v>
          </cell>
          <cell r="L58">
            <v>97</v>
          </cell>
          <cell r="M58">
            <v>104</v>
          </cell>
          <cell r="N58">
            <v>104</v>
          </cell>
          <cell r="O58">
            <v>104</v>
          </cell>
        </row>
        <row r="59">
          <cell r="C59" t="str">
            <v>Solvent</v>
          </cell>
          <cell r="D59">
            <v>19</v>
          </cell>
          <cell r="E59" t="str">
            <v>Kg</v>
          </cell>
          <cell r="G59">
            <v>21.184999999999999</v>
          </cell>
          <cell r="H59">
            <v>21.184999999999999</v>
          </cell>
          <cell r="I59">
            <v>23.75</v>
          </cell>
          <cell r="J59">
            <v>19.95</v>
          </cell>
          <cell r="K59">
            <v>20.520000000000003</v>
          </cell>
          <cell r="L59">
            <v>19.95</v>
          </cell>
          <cell r="M59">
            <v>26.481249999999999</v>
          </cell>
          <cell r="N59">
            <v>29.6875</v>
          </cell>
          <cell r="O59">
            <v>24.9375</v>
          </cell>
        </row>
        <row r="60">
          <cell r="C60" t="str">
            <v>Fire Wood</v>
          </cell>
          <cell r="D60">
            <v>300</v>
          </cell>
          <cell r="E60" t="str">
            <v>Cum</v>
          </cell>
          <cell r="G60">
            <v>334.5</v>
          </cell>
          <cell r="H60">
            <v>345</v>
          </cell>
          <cell r="I60">
            <v>375</v>
          </cell>
          <cell r="J60">
            <v>315</v>
          </cell>
          <cell r="K60">
            <v>324</v>
          </cell>
          <cell r="L60">
            <v>315</v>
          </cell>
          <cell r="M60">
            <v>431.25</v>
          </cell>
          <cell r="N60">
            <v>468.75</v>
          </cell>
          <cell r="O60">
            <v>393.75</v>
          </cell>
        </row>
        <row r="61">
          <cell r="C61" t="str">
            <v>Bitumen Emulsion</v>
          </cell>
          <cell r="D61">
            <v>20360</v>
          </cell>
          <cell r="E61">
            <v>20360</v>
          </cell>
          <cell r="F61">
            <v>20360</v>
          </cell>
          <cell r="G61">
            <v>20360</v>
          </cell>
          <cell r="H61">
            <v>20360</v>
          </cell>
          <cell r="I61">
            <v>25450</v>
          </cell>
          <cell r="J61">
            <v>21378</v>
          </cell>
          <cell r="K61">
            <v>21988.800000000003</v>
          </cell>
          <cell r="L61">
            <v>21378</v>
          </cell>
          <cell r="M61">
            <v>25450</v>
          </cell>
          <cell r="N61">
            <v>31812.5</v>
          </cell>
          <cell r="O61">
            <v>26722.5</v>
          </cell>
        </row>
        <row r="62">
          <cell r="C62" t="str">
            <v>Bitumen (80/100)</v>
          </cell>
          <cell r="D62">
            <v>13029.12</v>
          </cell>
          <cell r="E62" t="str">
            <v>MT</v>
          </cell>
          <cell r="F62" t="str">
            <v>3/03-GRS 261/50</v>
          </cell>
          <cell r="G62">
            <v>15068</v>
          </cell>
          <cell r="H62">
            <v>15068</v>
          </cell>
          <cell r="I62">
            <v>16286.400000000001</v>
          </cell>
          <cell r="J62">
            <v>13680.576000000001</v>
          </cell>
          <cell r="K62">
            <v>14071.449600000002</v>
          </cell>
          <cell r="L62">
            <v>13680.576000000001</v>
          </cell>
          <cell r="M62">
            <v>18835</v>
          </cell>
          <cell r="N62">
            <v>20358</v>
          </cell>
          <cell r="O62">
            <v>17100.72</v>
          </cell>
        </row>
        <row r="63">
          <cell r="C63" t="str">
            <v>Bitumen (60/70)</v>
          </cell>
          <cell r="E63" t="str">
            <v>MT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Bitumen (30/40)</v>
          </cell>
          <cell r="E64" t="str">
            <v>MT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Bitumen A 90/S-90</v>
          </cell>
          <cell r="E65" t="str">
            <v>MT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Tor steel 8 mm dia</v>
          </cell>
          <cell r="D66">
            <v>33400</v>
          </cell>
          <cell r="E66" t="str">
            <v>MT</v>
          </cell>
          <cell r="G66">
            <v>37241</v>
          </cell>
          <cell r="H66">
            <v>37241</v>
          </cell>
          <cell r="I66">
            <v>41750</v>
          </cell>
          <cell r="J66">
            <v>35070</v>
          </cell>
          <cell r="K66">
            <v>36072</v>
          </cell>
          <cell r="L66">
            <v>35070</v>
          </cell>
          <cell r="M66">
            <v>46551.25</v>
          </cell>
          <cell r="N66">
            <v>52187.5</v>
          </cell>
          <cell r="O66">
            <v>43837.5</v>
          </cell>
        </row>
        <row r="67">
          <cell r="C67" t="str">
            <v>Tor steel 10 mm dia</v>
          </cell>
          <cell r="D67">
            <v>33296</v>
          </cell>
          <cell r="E67" t="str">
            <v>MT</v>
          </cell>
          <cell r="G67">
            <v>37125.040000000001</v>
          </cell>
          <cell r="H67">
            <v>37125.040000000001</v>
          </cell>
          <cell r="I67">
            <v>41620</v>
          </cell>
          <cell r="J67">
            <v>34960.800000000003</v>
          </cell>
          <cell r="K67">
            <v>35959.68</v>
          </cell>
          <cell r="L67">
            <v>34960.800000000003</v>
          </cell>
          <cell r="M67">
            <v>46406.3</v>
          </cell>
          <cell r="N67">
            <v>52025</v>
          </cell>
          <cell r="O67">
            <v>43701</v>
          </cell>
        </row>
        <row r="68">
          <cell r="C68" t="str">
            <v>Tor steel 12 mm dia</v>
          </cell>
          <cell r="D68">
            <v>33296</v>
          </cell>
          <cell r="E68" t="str">
            <v>MT</v>
          </cell>
          <cell r="G68">
            <v>37125.040000000001</v>
          </cell>
          <cell r="H68">
            <v>37125.040000000001</v>
          </cell>
          <cell r="I68">
            <v>41620</v>
          </cell>
          <cell r="J68">
            <v>34960.800000000003</v>
          </cell>
          <cell r="K68">
            <v>35959.68</v>
          </cell>
          <cell r="L68">
            <v>34960.800000000003</v>
          </cell>
          <cell r="M68">
            <v>46406.3</v>
          </cell>
          <cell r="N68">
            <v>52025</v>
          </cell>
          <cell r="O68">
            <v>43701</v>
          </cell>
        </row>
        <row r="69">
          <cell r="C69" t="str">
            <v>Tor steel 16 mm dia</v>
          </cell>
          <cell r="D69">
            <v>33140</v>
          </cell>
          <cell r="E69" t="str">
            <v>MT</v>
          </cell>
          <cell r="G69">
            <v>36951.1</v>
          </cell>
          <cell r="H69">
            <v>36951.1</v>
          </cell>
          <cell r="I69">
            <v>41425</v>
          </cell>
          <cell r="J69">
            <v>34797</v>
          </cell>
          <cell r="K69">
            <v>35791.200000000004</v>
          </cell>
          <cell r="L69">
            <v>34797</v>
          </cell>
          <cell r="M69">
            <v>46188.875</v>
          </cell>
          <cell r="N69">
            <v>51781.25</v>
          </cell>
          <cell r="O69">
            <v>43496.25</v>
          </cell>
        </row>
        <row r="70">
          <cell r="C70" t="str">
            <v>Tor steel 20 mm dia</v>
          </cell>
          <cell r="D70">
            <v>31067</v>
          </cell>
          <cell r="E70" t="str">
            <v>MT</v>
          </cell>
          <cell r="G70">
            <v>34639.705000000002</v>
          </cell>
          <cell r="H70">
            <v>34639.705000000002</v>
          </cell>
          <cell r="I70">
            <v>38833.75</v>
          </cell>
          <cell r="J70">
            <v>32620.350000000002</v>
          </cell>
          <cell r="K70">
            <v>33552.36</v>
          </cell>
          <cell r="L70">
            <v>32620.350000000002</v>
          </cell>
          <cell r="M70">
            <v>38833.75</v>
          </cell>
          <cell r="N70">
            <v>48542.1875</v>
          </cell>
          <cell r="O70">
            <v>40775.4375</v>
          </cell>
        </row>
        <row r="71">
          <cell r="C71" t="str">
            <v>Tor steel 25 mm dia</v>
          </cell>
          <cell r="D71">
            <v>31067</v>
          </cell>
          <cell r="E71" t="str">
            <v>MT</v>
          </cell>
          <cell r="G71">
            <v>34639.705000000002</v>
          </cell>
          <cell r="H71">
            <v>34639.705000000002</v>
          </cell>
          <cell r="I71">
            <v>38833.75</v>
          </cell>
          <cell r="J71">
            <v>32620.350000000002</v>
          </cell>
          <cell r="K71">
            <v>33552.36</v>
          </cell>
          <cell r="L71">
            <v>32620.350000000002</v>
          </cell>
          <cell r="M71">
            <v>38833.75</v>
          </cell>
          <cell r="N71">
            <v>48542.1875</v>
          </cell>
          <cell r="O71">
            <v>40775.4375</v>
          </cell>
        </row>
        <row r="72">
          <cell r="C72" t="str">
            <v>Tor steel 28 mm dia</v>
          </cell>
          <cell r="D72">
            <v>31067</v>
          </cell>
          <cell r="E72" t="str">
            <v>MT</v>
          </cell>
          <cell r="G72">
            <v>34639.705000000002</v>
          </cell>
          <cell r="H72">
            <v>34639.705000000002</v>
          </cell>
          <cell r="I72">
            <v>38833.75</v>
          </cell>
          <cell r="J72">
            <v>32620.350000000002</v>
          </cell>
          <cell r="K72">
            <v>33552.36</v>
          </cell>
          <cell r="L72">
            <v>32620.350000000002</v>
          </cell>
          <cell r="M72">
            <v>38833.75</v>
          </cell>
          <cell r="N72">
            <v>48542.1875</v>
          </cell>
          <cell r="O72">
            <v>40775.4375</v>
          </cell>
        </row>
        <row r="73">
          <cell r="C73" t="str">
            <v>Tor steel 36 mm dia</v>
          </cell>
          <cell r="D73">
            <v>28668</v>
          </cell>
          <cell r="E73" t="str">
            <v>MT</v>
          </cell>
          <cell r="G73">
            <v>32441</v>
          </cell>
          <cell r="H73">
            <v>32441</v>
          </cell>
          <cell r="K73">
            <v>30961.440000000002</v>
          </cell>
          <cell r="L73">
            <v>30101.4</v>
          </cell>
        </row>
        <row r="74">
          <cell r="C74" t="str">
            <v>Tor steel 40 mm dia</v>
          </cell>
          <cell r="E74" t="str">
            <v>MT</v>
          </cell>
          <cell r="H74">
            <v>0</v>
          </cell>
          <cell r="K74">
            <v>0</v>
          </cell>
          <cell r="L74">
            <v>0</v>
          </cell>
        </row>
        <row r="75">
          <cell r="C75" t="str">
            <v>MS round 16 mm dia</v>
          </cell>
          <cell r="D75">
            <v>15400</v>
          </cell>
          <cell r="E75" t="str">
            <v>MT+Handling</v>
          </cell>
          <cell r="F75" t="str">
            <v>7/99 GRS224/61</v>
          </cell>
          <cell r="H75">
            <v>0</v>
          </cell>
          <cell r="I75">
            <v>19250</v>
          </cell>
          <cell r="J75">
            <v>16170</v>
          </cell>
          <cell r="K75">
            <v>16632</v>
          </cell>
          <cell r="L75">
            <v>16170</v>
          </cell>
          <cell r="M75">
            <v>19250</v>
          </cell>
          <cell r="N75">
            <v>24062.5</v>
          </cell>
          <cell r="O75">
            <v>20212.5</v>
          </cell>
        </row>
        <row r="76">
          <cell r="C76" t="str">
            <v>M.S. Binding wire(16 SWG)</v>
          </cell>
          <cell r="D76">
            <v>49</v>
          </cell>
          <cell r="E76" t="str">
            <v>Kg</v>
          </cell>
          <cell r="G76">
            <v>54.634999999999998</v>
          </cell>
          <cell r="H76">
            <v>54.634999999999998</v>
          </cell>
          <cell r="I76">
            <v>61.25</v>
          </cell>
          <cell r="J76">
            <v>51.45</v>
          </cell>
          <cell r="K76">
            <v>52.92</v>
          </cell>
          <cell r="L76">
            <v>51.45</v>
          </cell>
          <cell r="M76">
            <v>61.25</v>
          </cell>
          <cell r="N76">
            <v>76.5625</v>
          </cell>
          <cell r="O76">
            <v>64.3125</v>
          </cell>
        </row>
        <row r="77">
          <cell r="C77" t="str">
            <v>G.I. Binding wire(16 SWG)</v>
          </cell>
          <cell r="D77">
            <v>65</v>
          </cell>
          <cell r="E77" t="str">
            <v>Kg</v>
          </cell>
          <cell r="G77">
            <v>72.474999999999994</v>
          </cell>
          <cell r="H77">
            <v>72.488</v>
          </cell>
          <cell r="I77">
            <v>81.25</v>
          </cell>
          <cell r="J77">
            <v>68.25</v>
          </cell>
          <cell r="K77">
            <v>70.2</v>
          </cell>
          <cell r="L77">
            <v>68.25</v>
          </cell>
          <cell r="M77">
            <v>81.25</v>
          </cell>
          <cell r="N77">
            <v>101.5625</v>
          </cell>
          <cell r="O77">
            <v>85.3125</v>
          </cell>
        </row>
        <row r="78">
          <cell r="C78" t="str">
            <v>HSD OIL</v>
          </cell>
          <cell r="D78">
            <v>31.21</v>
          </cell>
          <cell r="E78" t="str">
            <v>Ltr</v>
          </cell>
          <cell r="G78">
            <v>34.799149999999997</v>
          </cell>
          <cell r="H78">
            <v>40.019022499999991</v>
          </cell>
          <cell r="I78">
            <v>45</v>
          </cell>
          <cell r="J78">
            <v>31.21</v>
          </cell>
          <cell r="K78">
            <v>36.5</v>
          </cell>
          <cell r="L78">
            <v>36.5</v>
          </cell>
          <cell r="M78">
            <v>45</v>
          </cell>
          <cell r="N78">
            <v>45</v>
          </cell>
          <cell r="O78">
            <v>45</v>
          </cell>
        </row>
        <row r="79">
          <cell r="C79" t="str">
            <v>Petrol</v>
          </cell>
          <cell r="D79">
            <v>41.31</v>
          </cell>
          <cell r="E79" t="str">
            <v>Ltr</v>
          </cell>
          <cell r="G79">
            <v>46.060650000000003</v>
          </cell>
          <cell r="H79">
            <v>52.969747499999997</v>
          </cell>
          <cell r="I79">
            <v>51.637500000000003</v>
          </cell>
          <cell r="J79">
            <v>41.21</v>
          </cell>
          <cell r="K79">
            <v>45.44100000000001</v>
          </cell>
          <cell r="L79">
            <v>45.44100000000001</v>
          </cell>
          <cell r="M79">
            <v>51.637500000000003</v>
          </cell>
          <cell r="N79">
            <v>64.546875</v>
          </cell>
          <cell r="O79">
            <v>51.512500000000003</v>
          </cell>
        </row>
        <row r="80">
          <cell r="C80" t="str">
            <v>Mobile Oil</v>
          </cell>
          <cell r="D80">
            <v>127</v>
          </cell>
          <cell r="E80" t="str">
            <v>Ltr</v>
          </cell>
          <cell r="G80">
            <v>141.60499999999999</v>
          </cell>
          <cell r="H80">
            <v>152.4</v>
          </cell>
          <cell r="I80">
            <v>158.75</v>
          </cell>
          <cell r="J80">
            <v>127</v>
          </cell>
          <cell r="K80">
            <v>158</v>
          </cell>
          <cell r="L80">
            <v>145</v>
          </cell>
          <cell r="M80">
            <v>158.75</v>
          </cell>
          <cell r="N80">
            <v>198.4375</v>
          </cell>
          <cell r="O80">
            <v>158.75</v>
          </cell>
        </row>
        <row r="81">
          <cell r="C81" t="str">
            <v>Lubricant</v>
          </cell>
          <cell r="D81">
            <v>127</v>
          </cell>
          <cell r="E81" t="str">
            <v>Ltr</v>
          </cell>
          <cell r="G81">
            <v>141.60499999999999</v>
          </cell>
          <cell r="H81">
            <v>162.84574999999998</v>
          </cell>
          <cell r="I81">
            <v>158.75</v>
          </cell>
          <cell r="J81">
            <v>127</v>
          </cell>
          <cell r="K81">
            <v>145</v>
          </cell>
          <cell r="L81">
            <v>139.70000000000002</v>
          </cell>
          <cell r="M81">
            <v>158.75</v>
          </cell>
          <cell r="N81">
            <v>198.4375</v>
          </cell>
          <cell r="O81">
            <v>158.75</v>
          </cell>
        </row>
        <row r="82">
          <cell r="C82" t="str">
            <v>Red oxide metal Primer</v>
          </cell>
          <cell r="D82">
            <v>60</v>
          </cell>
          <cell r="E82" t="str">
            <v>Ltr</v>
          </cell>
          <cell r="G82">
            <v>66.900000000000006</v>
          </cell>
          <cell r="H82">
            <v>66.286749999999998</v>
          </cell>
          <cell r="I82">
            <v>75</v>
          </cell>
          <cell r="J82">
            <v>63</v>
          </cell>
          <cell r="K82">
            <v>64.800000000000011</v>
          </cell>
          <cell r="L82">
            <v>63</v>
          </cell>
          <cell r="M82">
            <v>75</v>
          </cell>
          <cell r="N82">
            <v>93.75</v>
          </cell>
          <cell r="O82">
            <v>78.75</v>
          </cell>
        </row>
        <row r="83">
          <cell r="C83" t="str">
            <v>Wood primer</v>
          </cell>
          <cell r="D83">
            <v>58</v>
          </cell>
          <cell r="E83" t="str">
            <v>Ltr</v>
          </cell>
          <cell r="F83" t="str">
            <v>Asian Paint</v>
          </cell>
          <cell r="G83">
            <v>64.67</v>
          </cell>
          <cell r="H83">
            <v>64.112499999999997</v>
          </cell>
          <cell r="I83">
            <v>72.5</v>
          </cell>
          <cell r="J83">
            <v>60.900000000000006</v>
          </cell>
          <cell r="K83">
            <v>62.64</v>
          </cell>
          <cell r="L83">
            <v>60.900000000000006</v>
          </cell>
          <cell r="M83">
            <v>72.5</v>
          </cell>
          <cell r="N83">
            <v>90.625</v>
          </cell>
          <cell r="O83">
            <v>76.125</v>
          </cell>
        </row>
        <row r="84">
          <cell r="C84" t="str">
            <v>Zinc chromate Primer</v>
          </cell>
          <cell r="D84">
            <v>60</v>
          </cell>
          <cell r="E84" t="str">
            <v>Ltr</v>
          </cell>
          <cell r="G84">
            <v>66.900000000000006</v>
          </cell>
          <cell r="H84">
            <v>66.342500000000001</v>
          </cell>
          <cell r="I84">
            <v>75</v>
          </cell>
          <cell r="J84">
            <v>63</v>
          </cell>
          <cell r="K84">
            <v>64.800000000000011</v>
          </cell>
          <cell r="L84">
            <v>63</v>
          </cell>
          <cell r="M84">
            <v>75</v>
          </cell>
          <cell r="N84">
            <v>93.75</v>
          </cell>
          <cell r="O84">
            <v>78.75</v>
          </cell>
        </row>
        <row r="85">
          <cell r="C85" t="str">
            <v>Synthetic Enamel Paint</v>
          </cell>
          <cell r="D85">
            <v>79</v>
          </cell>
          <cell r="E85" t="str">
            <v>Ltr</v>
          </cell>
          <cell r="G85">
            <v>88.084999999999994</v>
          </cell>
          <cell r="H85">
            <v>87.806250000000006</v>
          </cell>
          <cell r="I85">
            <v>98.75</v>
          </cell>
          <cell r="J85">
            <v>82.95</v>
          </cell>
          <cell r="K85">
            <v>85.320000000000007</v>
          </cell>
          <cell r="L85">
            <v>82.95</v>
          </cell>
          <cell r="M85">
            <v>98.75</v>
          </cell>
          <cell r="N85">
            <v>123.4375</v>
          </cell>
          <cell r="O85">
            <v>103.6875</v>
          </cell>
        </row>
        <row r="86">
          <cell r="C86" t="str">
            <v>Aluminium Paint</v>
          </cell>
          <cell r="D86">
            <v>84</v>
          </cell>
          <cell r="E86" t="str">
            <v>Ltr</v>
          </cell>
          <cell r="F86" t="str">
            <v>10/04GRS272/20</v>
          </cell>
          <cell r="G86">
            <v>93.66</v>
          </cell>
          <cell r="H86">
            <v>93.66</v>
          </cell>
          <cell r="I86">
            <v>105</v>
          </cell>
          <cell r="J86">
            <v>88.2</v>
          </cell>
          <cell r="K86">
            <v>90.72</v>
          </cell>
          <cell r="L86">
            <v>88.2</v>
          </cell>
          <cell r="M86">
            <v>105</v>
          </cell>
          <cell r="N86">
            <v>131.25</v>
          </cell>
          <cell r="O86">
            <v>110.25</v>
          </cell>
        </row>
        <row r="87">
          <cell r="C87" t="str">
            <v>Ready Mixed Paint</v>
          </cell>
          <cell r="D87">
            <v>62</v>
          </cell>
          <cell r="E87" t="str">
            <v>Ltr</v>
          </cell>
          <cell r="G87">
            <v>69.13</v>
          </cell>
          <cell r="H87">
            <v>69.241500000000002</v>
          </cell>
          <cell r="I87">
            <v>77.5</v>
          </cell>
          <cell r="J87">
            <v>65.100000000000009</v>
          </cell>
          <cell r="K87">
            <v>66.960000000000008</v>
          </cell>
          <cell r="L87">
            <v>65.100000000000009</v>
          </cell>
          <cell r="M87">
            <v>77.5</v>
          </cell>
          <cell r="N87">
            <v>96.875</v>
          </cell>
          <cell r="O87">
            <v>81.375000000000014</v>
          </cell>
        </row>
        <row r="88">
          <cell r="C88" t="str">
            <v>Plastic emulsion paint</v>
          </cell>
          <cell r="D88">
            <v>152</v>
          </cell>
          <cell r="E88" t="str">
            <v>Ltr</v>
          </cell>
          <cell r="G88">
            <v>169.48</v>
          </cell>
          <cell r="H88">
            <v>169.87025</v>
          </cell>
          <cell r="I88">
            <v>190</v>
          </cell>
          <cell r="J88">
            <v>159.6</v>
          </cell>
          <cell r="K88">
            <v>164.16000000000003</v>
          </cell>
          <cell r="L88">
            <v>159.6</v>
          </cell>
          <cell r="M88">
            <v>190</v>
          </cell>
          <cell r="N88">
            <v>237.5</v>
          </cell>
          <cell r="O88">
            <v>199.5</v>
          </cell>
        </row>
        <row r="89">
          <cell r="C89" t="str">
            <v>Cement primer</v>
          </cell>
          <cell r="D89">
            <v>60</v>
          </cell>
          <cell r="E89" t="str">
            <v>Ltr</v>
          </cell>
          <cell r="G89">
            <v>66.900000000000006</v>
          </cell>
          <cell r="H89">
            <v>67.178749999999994</v>
          </cell>
          <cell r="I89">
            <v>75</v>
          </cell>
          <cell r="J89">
            <v>63</v>
          </cell>
          <cell r="K89">
            <v>64.800000000000011</v>
          </cell>
          <cell r="L89">
            <v>63</v>
          </cell>
          <cell r="M89">
            <v>75</v>
          </cell>
          <cell r="N89">
            <v>93.75</v>
          </cell>
          <cell r="O89">
            <v>78.75</v>
          </cell>
        </row>
        <row r="90">
          <cell r="C90" t="str">
            <v>Dry Distemper</v>
          </cell>
          <cell r="D90">
            <v>35</v>
          </cell>
          <cell r="E90" t="str">
            <v>Ltr</v>
          </cell>
          <cell r="G90">
            <v>39.024999999999999</v>
          </cell>
          <cell r="H90">
            <v>38.467500000000001</v>
          </cell>
          <cell r="I90">
            <v>43.75</v>
          </cell>
          <cell r="J90">
            <v>36.75</v>
          </cell>
          <cell r="K90">
            <v>37.800000000000004</v>
          </cell>
          <cell r="L90">
            <v>36.75</v>
          </cell>
          <cell r="M90">
            <v>43.75</v>
          </cell>
          <cell r="N90">
            <v>54.6875</v>
          </cell>
          <cell r="O90">
            <v>45.9375</v>
          </cell>
        </row>
        <row r="91">
          <cell r="C91" t="str">
            <v>Washable Distemper</v>
          </cell>
          <cell r="D91">
            <v>39</v>
          </cell>
          <cell r="E91" t="str">
            <v>Ltr</v>
          </cell>
          <cell r="G91">
            <v>43.484999999999999</v>
          </cell>
          <cell r="H91">
            <v>42.927500000000002</v>
          </cell>
          <cell r="I91">
            <v>48.75</v>
          </cell>
          <cell r="J91">
            <v>40.950000000000003</v>
          </cell>
          <cell r="K91">
            <v>42.120000000000005</v>
          </cell>
          <cell r="L91">
            <v>40.950000000000003</v>
          </cell>
          <cell r="M91">
            <v>48.75</v>
          </cell>
          <cell r="N91">
            <v>60.9375</v>
          </cell>
          <cell r="O91">
            <v>51.1875</v>
          </cell>
        </row>
        <row r="92">
          <cell r="C92" t="str">
            <v>Gum / Fevicol</v>
          </cell>
          <cell r="D92">
            <v>79</v>
          </cell>
          <cell r="E92" t="str">
            <v>Kg</v>
          </cell>
          <cell r="G92">
            <v>88.084999999999994</v>
          </cell>
          <cell r="H92">
            <v>88.084999999999994</v>
          </cell>
          <cell r="I92">
            <v>98.75</v>
          </cell>
          <cell r="J92">
            <v>82.95</v>
          </cell>
          <cell r="K92">
            <v>85.320000000000007</v>
          </cell>
          <cell r="L92">
            <v>82.95</v>
          </cell>
          <cell r="M92">
            <v>98.75</v>
          </cell>
          <cell r="N92">
            <v>123.4375</v>
          </cell>
          <cell r="O92">
            <v>103.6875</v>
          </cell>
        </row>
        <row r="93">
          <cell r="C93" t="str">
            <v>White Lime</v>
          </cell>
          <cell r="D93">
            <v>10</v>
          </cell>
          <cell r="E93" t="str">
            <v>Kg</v>
          </cell>
          <cell r="G93">
            <v>11.15</v>
          </cell>
          <cell r="H93">
            <v>10.927000000000001</v>
          </cell>
          <cell r="I93">
            <v>12.5</v>
          </cell>
          <cell r="J93">
            <v>10.5</v>
          </cell>
          <cell r="K93">
            <v>10.8</v>
          </cell>
          <cell r="L93">
            <v>10.5</v>
          </cell>
          <cell r="M93">
            <v>12.5</v>
          </cell>
          <cell r="N93">
            <v>15.625</v>
          </cell>
          <cell r="O93">
            <v>13.125</v>
          </cell>
        </row>
        <row r="94">
          <cell r="C94" t="str">
            <v>Epoxy paint</v>
          </cell>
          <cell r="D94">
            <v>195</v>
          </cell>
          <cell r="E94" t="str">
            <v>Ltr</v>
          </cell>
          <cell r="G94">
            <v>217.42500000000001</v>
          </cell>
          <cell r="H94">
            <v>217.42500000000001</v>
          </cell>
          <cell r="I94">
            <v>243.75</v>
          </cell>
          <cell r="J94">
            <v>204.75</v>
          </cell>
          <cell r="K94">
            <v>210.60000000000002</v>
          </cell>
          <cell r="L94">
            <v>204.75</v>
          </cell>
          <cell r="M94">
            <v>243.75</v>
          </cell>
          <cell r="N94">
            <v>304.6875</v>
          </cell>
          <cell r="O94">
            <v>255.9375</v>
          </cell>
        </row>
        <row r="95">
          <cell r="C95" t="str">
            <v>Wall putty</v>
          </cell>
          <cell r="D95">
            <v>40</v>
          </cell>
          <cell r="E95" t="str">
            <v>Kg</v>
          </cell>
          <cell r="G95">
            <v>44.6</v>
          </cell>
          <cell r="H95">
            <v>44.9345</v>
          </cell>
          <cell r="I95">
            <v>50</v>
          </cell>
          <cell r="J95">
            <v>42</v>
          </cell>
          <cell r="K95">
            <v>43.2</v>
          </cell>
          <cell r="L95">
            <v>42</v>
          </cell>
          <cell r="M95">
            <v>50</v>
          </cell>
          <cell r="N95">
            <v>62.5</v>
          </cell>
          <cell r="O95">
            <v>52.5</v>
          </cell>
        </row>
        <row r="96">
          <cell r="C96" t="str">
            <v>Plaster of Paris</v>
          </cell>
          <cell r="D96">
            <v>17</v>
          </cell>
          <cell r="E96" t="str">
            <v>kg</v>
          </cell>
          <cell r="G96">
            <v>18.954999999999998</v>
          </cell>
          <cell r="H96">
            <v>18.954999999999998</v>
          </cell>
          <cell r="I96">
            <v>21.25</v>
          </cell>
          <cell r="J96">
            <v>17.850000000000001</v>
          </cell>
          <cell r="K96">
            <v>18.36</v>
          </cell>
          <cell r="L96">
            <v>17.850000000000001</v>
          </cell>
          <cell r="M96">
            <v>21.25</v>
          </cell>
          <cell r="N96">
            <v>26.5625</v>
          </cell>
          <cell r="O96">
            <v>22.3125</v>
          </cell>
        </row>
        <row r="97">
          <cell r="C97" t="str">
            <v>Anti corrossive paint</v>
          </cell>
          <cell r="D97">
            <v>64</v>
          </cell>
          <cell r="E97" t="str">
            <v>Ltr</v>
          </cell>
          <cell r="G97">
            <v>71.36</v>
          </cell>
          <cell r="H97">
            <v>70.691000000000003</v>
          </cell>
          <cell r="I97">
            <v>80</v>
          </cell>
          <cell r="J97">
            <v>67.2</v>
          </cell>
          <cell r="K97">
            <v>69.12</v>
          </cell>
          <cell r="L97">
            <v>67.2</v>
          </cell>
          <cell r="M97">
            <v>80</v>
          </cell>
          <cell r="N97">
            <v>100</v>
          </cell>
          <cell r="O97">
            <v>84</v>
          </cell>
        </row>
        <row r="98">
          <cell r="C98" t="str">
            <v xml:space="preserve">Marine Plywood 6mm </v>
          </cell>
          <cell r="D98">
            <v>415</v>
          </cell>
          <cell r="E98" t="str">
            <v>piece</v>
          </cell>
          <cell r="G98">
            <v>462.72500000000002</v>
          </cell>
          <cell r="H98">
            <v>462.72500000000002</v>
          </cell>
          <cell r="I98">
            <v>518.75</v>
          </cell>
          <cell r="J98">
            <v>435.75</v>
          </cell>
          <cell r="K98">
            <v>448.20000000000005</v>
          </cell>
          <cell r="L98">
            <v>435.75</v>
          </cell>
          <cell r="M98">
            <v>518.75</v>
          </cell>
          <cell r="N98">
            <v>648.4375</v>
          </cell>
          <cell r="O98">
            <v>544.6875</v>
          </cell>
        </row>
        <row r="99">
          <cell r="C99" t="str">
            <v xml:space="preserve">Marine Plywood 8 mm </v>
          </cell>
          <cell r="D99">
            <v>538</v>
          </cell>
          <cell r="E99" t="str">
            <v>piece</v>
          </cell>
          <cell r="G99">
            <v>599.87</v>
          </cell>
          <cell r="H99">
            <v>599.87</v>
          </cell>
          <cell r="I99">
            <v>672.5</v>
          </cell>
          <cell r="J99">
            <v>564.9</v>
          </cell>
          <cell r="K99">
            <v>581.04000000000008</v>
          </cell>
          <cell r="L99">
            <v>564.9</v>
          </cell>
          <cell r="M99">
            <v>672.5</v>
          </cell>
          <cell r="N99">
            <v>840.625</v>
          </cell>
          <cell r="O99">
            <v>706.125</v>
          </cell>
        </row>
        <row r="100">
          <cell r="C100" t="str">
            <v xml:space="preserve">Marine Plywood 10 mm </v>
          </cell>
          <cell r="D100">
            <v>548</v>
          </cell>
          <cell r="E100" t="str">
            <v>piece</v>
          </cell>
          <cell r="G100">
            <v>611.02</v>
          </cell>
          <cell r="H100">
            <v>611.02</v>
          </cell>
          <cell r="I100">
            <v>685</v>
          </cell>
          <cell r="J100">
            <v>575.4</v>
          </cell>
          <cell r="K100">
            <v>591.84</v>
          </cell>
          <cell r="L100">
            <v>575.4</v>
          </cell>
          <cell r="M100">
            <v>685</v>
          </cell>
          <cell r="N100">
            <v>856.25</v>
          </cell>
          <cell r="O100">
            <v>719.25</v>
          </cell>
        </row>
        <row r="101">
          <cell r="C101" t="str">
            <v xml:space="preserve">Marine Plywood 12 mm </v>
          </cell>
          <cell r="D101">
            <v>678</v>
          </cell>
          <cell r="E101" t="str">
            <v>piece</v>
          </cell>
          <cell r="G101">
            <v>755.97</v>
          </cell>
          <cell r="H101">
            <v>755.97</v>
          </cell>
          <cell r="I101">
            <v>847.5</v>
          </cell>
          <cell r="J101">
            <v>711.9</v>
          </cell>
          <cell r="K101">
            <v>732.24</v>
          </cell>
          <cell r="L101">
            <v>711.9</v>
          </cell>
          <cell r="M101">
            <v>847.5</v>
          </cell>
          <cell r="N101">
            <v>1059.375</v>
          </cell>
          <cell r="O101">
            <v>889.875</v>
          </cell>
        </row>
        <row r="102">
          <cell r="C102" t="str">
            <v xml:space="preserve">Marine Plywood 16 mm </v>
          </cell>
          <cell r="D102">
            <v>890</v>
          </cell>
          <cell r="E102" t="str">
            <v>piece</v>
          </cell>
          <cell r="G102">
            <v>992.35</v>
          </cell>
          <cell r="H102">
            <v>992.35</v>
          </cell>
          <cell r="I102">
            <v>1112.5</v>
          </cell>
          <cell r="J102">
            <v>934.5</v>
          </cell>
          <cell r="K102">
            <v>961.2</v>
          </cell>
          <cell r="L102">
            <v>934.5</v>
          </cell>
          <cell r="M102">
            <v>1112.5</v>
          </cell>
          <cell r="N102">
            <v>1390.625</v>
          </cell>
          <cell r="O102">
            <v>1168.125</v>
          </cell>
        </row>
        <row r="103">
          <cell r="C103" t="str">
            <v xml:space="preserve">Marine Plywood 19 mm </v>
          </cell>
          <cell r="D103">
            <v>998</v>
          </cell>
          <cell r="E103" t="str">
            <v>piece</v>
          </cell>
          <cell r="G103">
            <v>1112.77</v>
          </cell>
          <cell r="H103">
            <v>1112.77</v>
          </cell>
          <cell r="I103">
            <v>1247.5</v>
          </cell>
          <cell r="J103">
            <v>1047.9000000000001</v>
          </cell>
          <cell r="K103">
            <v>1077.8400000000001</v>
          </cell>
          <cell r="L103">
            <v>1047.9000000000001</v>
          </cell>
          <cell r="M103">
            <v>1247.5</v>
          </cell>
          <cell r="N103">
            <v>1559.375</v>
          </cell>
          <cell r="O103">
            <v>1309.875</v>
          </cell>
        </row>
        <row r="104">
          <cell r="C104" t="str">
            <v xml:space="preserve">Marine Plywood 20 mm </v>
          </cell>
          <cell r="D104">
            <v>1190</v>
          </cell>
          <cell r="E104" t="str">
            <v>piece</v>
          </cell>
          <cell r="G104">
            <v>1326.85</v>
          </cell>
          <cell r="H104">
            <v>1326.85</v>
          </cell>
          <cell r="I104">
            <v>1487.5</v>
          </cell>
          <cell r="J104">
            <v>1249.5</v>
          </cell>
          <cell r="K104">
            <v>1285.2</v>
          </cell>
          <cell r="L104">
            <v>1249.5</v>
          </cell>
          <cell r="M104">
            <v>1487.5</v>
          </cell>
          <cell r="N104">
            <v>1859.375</v>
          </cell>
          <cell r="O104">
            <v>1561.875</v>
          </cell>
        </row>
        <row r="105">
          <cell r="C105" t="str">
            <v>Ballies 125 mm dia</v>
          </cell>
          <cell r="D105">
            <v>125</v>
          </cell>
          <cell r="E105" t="str">
            <v>Nos</v>
          </cell>
          <cell r="G105">
            <v>139.375</v>
          </cell>
          <cell r="H105">
            <v>139.4</v>
          </cell>
          <cell r="I105">
            <v>156.25</v>
          </cell>
          <cell r="J105">
            <v>131.25</v>
          </cell>
          <cell r="K105">
            <v>135</v>
          </cell>
          <cell r="L105">
            <v>131.25</v>
          </cell>
          <cell r="M105">
            <v>156.25</v>
          </cell>
          <cell r="N105">
            <v>195.3125</v>
          </cell>
          <cell r="O105">
            <v>164.0625</v>
          </cell>
        </row>
        <row r="106">
          <cell r="C106" t="str">
            <v>Ballies 80 mm dia</v>
          </cell>
          <cell r="D106">
            <v>40</v>
          </cell>
          <cell r="E106" t="str">
            <v>Nos</v>
          </cell>
          <cell r="G106">
            <v>44.6</v>
          </cell>
          <cell r="H106">
            <v>44.6</v>
          </cell>
          <cell r="I106">
            <v>50</v>
          </cell>
          <cell r="J106">
            <v>42</v>
          </cell>
          <cell r="K106">
            <v>43.2</v>
          </cell>
          <cell r="L106">
            <v>42</v>
          </cell>
          <cell r="M106">
            <v>50</v>
          </cell>
          <cell r="N106">
            <v>62.5</v>
          </cell>
          <cell r="O106">
            <v>52.5</v>
          </cell>
        </row>
        <row r="107">
          <cell r="C107" t="str">
            <v>Triangular Ballies 80mm dia</v>
          </cell>
          <cell r="D107">
            <v>50</v>
          </cell>
          <cell r="E107" t="str">
            <v>Nos</v>
          </cell>
          <cell r="G107">
            <v>55.75</v>
          </cell>
          <cell r="H107">
            <v>55.8</v>
          </cell>
          <cell r="I107">
            <v>62.5</v>
          </cell>
          <cell r="J107">
            <v>52.5</v>
          </cell>
          <cell r="K107">
            <v>54</v>
          </cell>
          <cell r="L107">
            <v>52.5</v>
          </cell>
          <cell r="M107">
            <v>62.5</v>
          </cell>
          <cell r="N107">
            <v>78.125</v>
          </cell>
          <cell r="O107">
            <v>65.625</v>
          </cell>
        </row>
        <row r="108">
          <cell r="C108" t="str">
            <v>Wire nail-4"</v>
          </cell>
          <cell r="D108">
            <v>38</v>
          </cell>
          <cell r="E108" t="str">
            <v>Kg</v>
          </cell>
          <cell r="G108">
            <v>42.37</v>
          </cell>
          <cell r="H108">
            <v>42.258499999999998</v>
          </cell>
          <cell r="I108">
            <v>47.5</v>
          </cell>
          <cell r="J108">
            <v>39.9</v>
          </cell>
          <cell r="K108">
            <v>41.040000000000006</v>
          </cell>
          <cell r="L108">
            <v>39.9</v>
          </cell>
          <cell r="M108">
            <v>47.5</v>
          </cell>
          <cell r="N108">
            <v>59.375</v>
          </cell>
          <cell r="O108">
            <v>49.875</v>
          </cell>
        </row>
        <row r="109">
          <cell r="C109" t="str">
            <v>Wire nail-3"</v>
          </cell>
          <cell r="D109">
            <v>38</v>
          </cell>
          <cell r="E109" t="str">
            <v>Kg</v>
          </cell>
          <cell r="G109">
            <v>42.37</v>
          </cell>
          <cell r="H109">
            <v>42.258499999999998</v>
          </cell>
          <cell r="I109">
            <v>47.5</v>
          </cell>
          <cell r="J109">
            <v>39.9</v>
          </cell>
          <cell r="K109">
            <v>41.040000000000006</v>
          </cell>
          <cell r="L109">
            <v>39.9</v>
          </cell>
          <cell r="M109">
            <v>47.5</v>
          </cell>
          <cell r="N109">
            <v>59.375</v>
          </cell>
          <cell r="O109">
            <v>49.875</v>
          </cell>
        </row>
        <row r="110">
          <cell r="C110" t="str">
            <v>Wire nail-2-1/2"</v>
          </cell>
          <cell r="D110">
            <v>38</v>
          </cell>
          <cell r="E110" t="str">
            <v>Kg</v>
          </cell>
          <cell r="G110">
            <v>42.37</v>
          </cell>
          <cell r="H110">
            <v>42.258499999999998</v>
          </cell>
          <cell r="I110">
            <v>47.5</v>
          </cell>
          <cell r="J110">
            <v>39.9</v>
          </cell>
          <cell r="K110">
            <v>41.040000000000006</v>
          </cell>
          <cell r="L110">
            <v>39.9</v>
          </cell>
          <cell r="M110">
            <v>47.5</v>
          </cell>
          <cell r="N110">
            <v>59.375</v>
          </cell>
          <cell r="O110">
            <v>49.875</v>
          </cell>
        </row>
        <row r="111">
          <cell r="C111" t="str">
            <v>Wire nail-2"</v>
          </cell>
          <cell r="D111">
            <v>38</v>
          </cell>
          <cell r="E111" t="str">
            <v>Kg</v>
          </cell>
          <cell r="G111">
            <v>42.37</v>
          </cell>
          <cell r="H111">
            <v>42.258499999999998</v>
          </cell>
          <cell r="I111">
            <v>47.5</v>
          </cell>
          <cell r="J111">
            <v>39.9</v>
          </cell>
          <cell r="K111">
            <v>41.040000000000006</v>
          </cell>
          <cell r="L111">
            <v>39.9</v>
          </cell>
          <cell r="M111">
            <v>47.5</v>
          </cell>
          <cell r="N111">
            <v>59.375</v>
          </cell>
          <cell r="O111">
            <v>49.875</v>
          </cell>
        </row>
        <row r="112">
          <cell r="C112" t="str">
            <v>Wire nail-1-1/2"</v>
          </cell>
          <cell r="D112">
            <v>39</v>
          </cell>
          <cell r="E112" t="str">
            <v>Kg</v>
          </cell>
          <cell r="G112">
            <v>43.484999999999999</v>
          </cell>
          <cell r="H112">
            <v>43.3735</v>
          </cell>
          <cell r="I112">
            <v>48.75</v>
          </cell>
          <cell r="J112">
            <v>40.950000000000003</v>
          </cell>
          <cell r="K112">
            <v>42.120000000000005</v>
          </cell>
          <cell r="L112">
            <v>40.950000000000003</v>
          </cell>
          <cell r="M112">
            <v>48.75</v>
          </cell>
          <cell r="N112">
            <v>60.9375</v>
          </cell>
          <cell r="O112">
            <v>51.1875</v>
          </cell>
        </row>
        <row r="113">
          <cell r="C113" t="str">
            <v>Shuttering oil</v>
          </cell>
          <cell r="D113">
            <v>22</v>
          </cell>
          <cell r="E113" t="str">
            <v>Ltr</v>
          </cell>
          <cell r="G113">
            <v>24.53</v>
          </cell>
          <cell r="H113">
            <v>24.53</v>
          </cell>
          <cell r="I113">
            <v>27.5</v>
          </cell>
          <cell r="J113">
            <v>23.1</v>
          </cell>
          <cell r="K113">
            <v>23.76</v>
          </cell>
          <cell r="L113">
            <v>23.1</v>
          </cell>
          <cell r="M113">
            <v>27.5</v>
          </cell>
          <cell r="N113">
            <v>34.375</v>
          </cell>
          <cell r="O113">
            <v>28.875</v>
          </cell>
        </row>
        <row r="114">
          <cell r="C114" t="str">
            <v>Padauk Timber I class( cat-I)</v>
          </cell>
          <cell r="E114" t="str">
            <v>Cum</v>
          </cell>
          <cell r="H114">
            <v>0</v>
          </cell>
          <cell r="J114">
            <v>1389</v>
          </cell>
          <cell r="K114">
            <v>0</v>
          </cell>
          <cell r="L114">
            <v>0</v>
          </cell>
          <cell r="M114">
            <v>0</v>
          </cell>
        </row>
        <row r="115">
          <cell r="C115" t="str">
            <v>Padauk Timber II class( cat-I)</v>
          </cell>
          <cell r="E115" t="str">
            <v>Cum</v>
          </cell>
          <cell r="F115" t="str">
            <v>For padauk present rate</v>
          </cell>
          <cell r="J115">
            <v>1389</v>
          </cell>
          <cell r="K115">
            <v>0</v>
          </cell>
          <cell r="L115">
            <v>0</v>
          </cell>
          <cell r="M115">
            <v>0</v>
          </cell>
        </row>
        <row r="116">
          <cell r="C116" t="str">
            <v>Timber Battens(Cat-I)</v>
          </cell>
          <cell r="D116">
            <v>13210</v>
          </cell>
          <cell r="E116" t="str">
            <v>Cum</v>
          </cell>
          <cell r="G116">
            <v>14477</v>
          </cell>
          <cell r="H116">
            <v>14482</v>
          </cell>
          <cell r="I116">
            <v>14542</v>
          </cell>
          <cell r="J116">
            <v>14477</v>
          </cell>
          <cell r="K116">
            <v>14477</v>
          </cell>
          <cell r="L116">
            <v>14477</v>
          </cell>
          <cell r="M116">
            <v>16512.5</v>
          </cell>
          <cell r="N116">
            <v>14542</v>
          </cell>
          <cell r="O116">
            <v>14542</v>
          </cell>
        </row>
        <row r="117">
          <cell r="C117" t="str">
            <v>Timber Planks(Cat-I)</v>
          </cell>
          <cell r="D117">
            <v>31902</v>
          </cell>
          <cell r="E117" t="str">
            <v>Cum</v>
          </cell>
          <cell r="G117">
            <v>33169</v>
          </cell>
          <cell r="H117">
            <v>33124</v>
          </cell>
          <cell r="I117">
            <v>33234</v>
          </cell>
          <cell r="J117">
            <v>33169</v>
          </cell>
          <cell r="K117">
            <v>33169</v>
          </cell>
          <cell r="L117">
            <v>33169</v>
          </cell>
          <cell r="M117">
            <v>39877.5</v>
          </cell>
          <cell r="N117">
            <v>33234</v>
          </cell>
          <cell r="O117">
            <v>33234</v>
          </cell>
        </row>
        <row r="118">
          <cell r="C118" t="str">
            <v>Timber Board(Cat-I)</v>
          </cell>
          <cell r="D118">
            <v>33914</v>
          </cell>
          <cell r="E118" t="str">
            <v>Cum</v>
          </cell>
          <cell r="G118">
            <v>35181</v>
          </cell>
          <cell r="H118">
            <v>35136</v>
          </cell>
          <cell r="I118">
            <v>35246</v>
          </cell>
          <cell r="J118">
            <v>35181</v>
          </cell>
          <cell r="K118">
            <v>35181</v>
          </cell>
          <cell r="L118">
            <v>35181</v>
          </cell>
          <cell r="M118">
            <v>42392.5</v>
          </cell>
          <cell r="N118">
            <v>35246</v>
          </cell>
          <cell r="O118">
            <v>35246</v>
          </cell>
        </row>
        <row r="119">
          <cell r="C119" t="str">
            <v>Timber Battens(Cat-II)</v>
          </cell>
          <cell r="D119">
            <v>8250</v>
          </cell>
          <cell r="E119" t="str">
            <v>Cum</v>
          </cell>
          <cell r="G119">
            <v>9517</v>
          </cell>
          <cell r="H119">
            <v>9472</v>
          </cell>
          <cell r="I119">
            <v>9582</v>
          </cell>
          <cell r="J119">
            <v>9517</v>
          </cell>
          <cell r="K119">
            <v>9517</v>
          </cell>
          <cell r="L119">
            <v>9517</v>
          </cell>
          <cell r="M119">
            <v>10312.5</v>
          </cell>
          <cell r="N119">
            <v>9582</v>
          </cell>
          <cell r="O119">
            <v>9582</v>
          </cell>
        </row>
        <row r="120">
          <cell r="C120" t="str">
            <v>Timber Planks(Cat-II)</v>
          </cell>
          <cell r="D120">
            <v>20007</v>
          </cell>
          <cell r="E120" t="str">
            <v>Cum</v>
          </cell>
          <cell r="G120">
            <v>21274</v>
          </cell>
          <cell r="H120">
            <v>21229</v>
          </cell>
          <cell r="I120">
            <v>21339</v>
          </cell>
          <cell r="J120">
            <v>21274</v>
          </cell>
          <cell r="K120">
            <v>21274</v>
          </cell>
          <cell r="L120">
            <v>21274</v>
          </cell>
          <cell r="M120">
            <v>25008.75</v>
          </cell>
          <cell r="N120">
            <v>21339</v>
          </cell>
          <cell r="O120">
            <v>21339</v>
          </cell>
        </row>
        <row r="121">
          <cell r="C121" t="str">
            <v>Timber Board(Cat-II)</v>
          </cell>
          <cell r="D121">
            <v>21177</v>
          </cell>
          <cell r="E121" t="str">
            <v>Cum</v>
          </cell>
          <cell r="G121">
            <v>22444</v>
          </cell>
          <cell r="H121">
            <v>22399</v>
          </cell>
          <cell r="I121">
            <v>22509</v>
          </cell>
          <cell r="J121">
            <v>22444</v>
          </cell>
          <cell r="K121">
            <v>22444</v>
          </cell>
          <cell r="L121">
            <v>22444</v>
          </cell>
          <cell r="M121">
            <v>26471.25</v>
          </cell>
          <cell r="N121">
            <v>22509</v>
          </cell>
          <cell r="O121">
            <v>22509</v>
          </cell>
        </row>
        <row r="122">
          <cell r="C122" t="str">
            <v>Timber Scantling(Cat-III)</v>
          </cell>
          <cell r="D122">
            <v>14300</v>
          </cell>
          <cell r="E122" t="str">
            <v>Cum</v>
          </cell>
          <cell r="G122">
            <v>15567</v>
          </cell>
          <cell r="H122">
            <v>15522</v>
          </cell>
          <cell r="I122">
            <v>15632</v>
          </cell>
          <cell r="J122">
            <v>15567</v>
          </cell>
          <cell r="K122">
            <v>15567</v>
          </cell>
          <cell r="L122">
            <v>15567</v>
          </cell>
          <cell r="M122">
            <v>17875</v>
          </cell>
          <cell r="N122">
            <v>15632</v>
          </cell>
          <cell r="O122">
            <v>15632</v>
          </cell>
        </row>
        <row r="123">
          <cell r="C123" t="str">
            <v>Timber Battens(Cat-III)</v>
          </cell>
          <cell r="D123">
            <v>7520</v>
          </cell>
          <cell r="E123" t="str">
            <v>Cum</v>
          </cell>
          <cell r="G123">
            <v>8787</v>
          </cell>
          <cell r="H123">
            <v>16924</v>
          </cell>
          <cell r="I123">
            <v>8852</v>
          </cell>
          <cell r="J123">
            <v>8787</v>
          </cell>
          <cell r="K123">
            <v>8787</v>
          </cell>
          <cell r="L123">
            <v>8787</v>
          </cell>
          <cell r="M123">
            <v>9400</v>
          </cell>
          <cell r="N123">
            <v>8852</v>
          </cell>
          <cell r="O123">
            <v>8852</v>
          </cell>
        </row>
        <row r="124">
          <cell r="C124" t="str">
            <v>Timber Planks(Cat-III)</v>
          </cell>
          <cell r="D124">
            <v>14985</v>
          </cell>
          <cell r="E124" t="str">
            <v>Cum</v>
          </cell>
          <cell r="G124">
            <v>16252</v>
          </cell>
          <cell r="H124">
            <v>16207</v>
          </cell>
          <cell r="I124">
            <v>16317</v>
          </cell>
          <cell r="J124">
            <v>16252</v>
          </cell>
          <cell r="K124">
            <v>16252</v>
          </cell>
          <cell r="L124">
            <v>16252</v>
          </cell>
          <cell r="M124">
            <v>18731.25</v>
          </cell>
          <cell r="N124">
            <v>16317</v>
          </cell>
          <cell r="O124">
            <v>16317</v>
          </cell>
        </row>
        <row r="125">
          <cell r="C125" t="str">
            <v>Timber Board(Cat-III)</v>
          </cell>
          <cell r="D125">
            <v>15702</v>
          </cell>
          <cell r="E125" t="str">
            <v>Cum</v>
          </cell>
          <cell r="G125">
            <v>16969</v>
          </cell>
          <cell r="H125">
            <v>16924</v>
          </cell>
          <cell r="I125">
            <v>17034</v>
          </cell>
          <cell r="J125">
            <v>16969</v>
          </cell>
          <cell r="K125">
            <v>16969</v>
          </cell>
          <cell r="L125">
            <v>16969</v>
          </cell>
          <cell r="M125">
            <v>19627.5</v>
          </cell>
          <cell r="N125">
            <v>17034</v>
          </cell>
          <cell r="O125">
            <v>17034</v>
          </cell>
        </row>
        <row r="126">
          <cell r="C126" t="str">
            <v>Wooden Blocks</v>
          </cell>
          <cell r="E126" t="str">
            <v>Cum</v>
          </cell>
          <cell r="M126">
            <v>0</v>
          </cell>
        </row>
        <row r="127">
          <cell r="C127" t="str">
            <v>C.I. Shoe</v>
          </cell>
          <cell r="D127">
            <v>16</v>
          </cell>
          <cell r="E127" t="str">
            <v>Kg</v>
          </cell>
          <cell r="M127">
            <v>20</v>
          </cell>
        </row>
        <row r="128">
          <cell r="C128" t="str">
            <v xml:space="preserve">MS Shoes </v>
          </cell>
          <cell r="D128">
            <v>24</v>
          </cell>
          <cell r="E128" t="str">
            <v>Kg</v>
          </cell>
          <cell r="M128">
            <v>30</v>
          </cell>
        </row>
        <row r="129">
          <cell r="C129" t="str">
            <v>A C sheet(corrugated) 6mm, 3.0m</v>
          </cell>
          <cell r="D129">
            <v>145</v>
          </cell>
          <cell r="E129" t="str">
            <v>Sqm</v>
          </cell>
          <cell r="G129">
            <v>161.67500000000001</v>
          </cell>
          <cell r="H129">
            <v>161.67500000000001</v>
          </cell>
          <cell r="I129">
            <v>181.25</v>
          </cell>
          <cell r="J129">
            <v>152.25</v>
          </cell>
          <cell r="K129">
            <v>156.60000000000002</v>
          </cell>
          <cell r="L129">
            <v>152.25</v>
          </cell>
          <cell r="M129">
            <v>181.25</v>
          </cell>
          <cell r="N129">
            <v>226.5625</v>
          </cell>
          <cell r="O129">
            <v>190.3125</v>
          </cell>
        </row>
        <row r="130">
          <cell r="C130" t="str">
            <v>A C sheet(corrugated) 6mm,2.5m</v>
          </cell>
          <cell r="D130">
            <v>145</v>
          </cell>
          <cell r="E130" t="str">
            <v>Sqm</v>
          </cell>
          <cell r="G130">
            <v>161.67500000000001</v>
          </cell>
          <cell r="H130">
            <v>161.67500000000001</v>
          </cell>
          <cell r="I130">
            <v>181.25</v>
          </cell>
          <cell r="J130">
            <v>152.25</v>
          </cell>
          <cell r="K130">
            <v>156.60000000000002</v>
          </cell>
          <cell r="L130">
            <v>152.25</v>
          </cell>
          <cell r="M130">
            <v>181.25</v>
          </cell>
          <cell r="N130">
            <v>226.5625</v>
          </cell>
          <cell r="O130">
            <v>190.3125</v>
          </cell>
        </row>
        <row r="131">
          <cell r="C131" t="str">
            <v>A C sheet(corrugated) 6mm,2.00m</v>
          </cell>
          <cell r="D131">
            <v>145</v>
          </cell>
          <cell r="E131" t="str">
            <v>Sqm</v>
          </cell>
          <cell r="G131">
            <v>161.67500000000001</v>
          </cell>
          <cell r="H131">
            <v>161.67500000000001</v>
          </cell>
          <cell r="I131">
            <v>181.25</v>
          </cell>
          <cell r="J131">
            <v>152.25</v>
          </cell>
          <cell r="K131">
            <v>156.60000000000002</v>
          </cell>
          <cell r="L131">
            <v>152.25</v>
          </cell>
          <cell r="M131">
            <v>181.25</v>
          </cell>
          <cell r="N131">
            <v>226.5625</v>
          </cell>
          <cell r="O131">
            <v>190.3125</v>
          </cell>
        </row>
        <row r="132">
          <cell r="C132" t="str">
            <v>A C sheet(corrugated) 6mm, 1.50m</v>
          </cell>
          <cell r="D132">
            <v>145</v>
          </cell>
          <cell r="E132" t="str">
            <v>Sqm</v>
          </cell>
          <cell r="G132">
            <v>161.67500000000001</v>
          </cell>
          <cell r="H132">
            <v>161.67500000000001</v>
          </cell>
          <cell r="I132">
            <v>181.25</v>
          </cell>
          <cell r="J132">
            <v>152.25</v>
          </cell>
          <cell r="K132">
            <v>156.60000000000002</v>
          </cell>
          <cell r="L132">
            <v>152.25</v>
          </cell>
          <cell r="M132">
            <v>181.25</v>
          </cell>
          <cell r="N132">
            <v>226.5625</v>
          </cell>
          <cell r="O132">
            <v>190.3125</v>
          </cell>
        </row>
        <row r="133">
          <cell r="C133" t="str">
            <v>A C sheet(plain) 6mm</v>
          </cell>
          <cell r="D133">
            <v>170</v>
          </cell>
          <cell r="E133" t="str">
            <v>Sqm</v>
          </cell>
          <cell r="G133">
            <v>189.55</v>
          </cell>
          <cell r="H133">
            <v>189.55</v>
          </cell>
          <cell r="I133">
            <v>212.5</v>
          </cell>
          <cell r="J133">
            <v>178.5</v>
          </cell>
          <cell r="K133">
            <v>183.60000000000002</v>
          </cell>
          <cell r="L133">
            <v>178.5</v>
          </cell>
          <cell r="M133">
            <v>212.5</v>
          </cell>
          <cell r="N133">
            <v>265.625</v>
          </cell>
          <cell r="O133">
            <v>223.125</v>
          </cell>
        </row>
        <row r="134">
          <cell r="C134" t="str">
            <v>Precoated steel sheet(0.60mm thk) Corrugated</v>
          </cell>
          <cell r="E134" t="str">
            <v>Sqm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Precoated steel sheet 0.60mm thk(Trafford)</v>
          </cell>
          <cell r="E135" t="str">
            <v>Sqm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Transparent fibre sheet (10' x 2.5')</v>
          </cell>
          <cell r="D136">
            <v>558</v>
          </cell>
          <cell r="E136" t="str">
            <v>Sqm</v>
          </cell>
          <cell r="G136">
            <v>622.16999999999996</v>
          </cell>
          <cell r="H136">
            <v>622.16999999999996</v>
          </cell>
          <cell r="I136">
            <v>697.5</v>
          </cell>
          <cell r="J136">
            <v>585.9</v>
          </cell>
          <cell r="K136">
            <v>602.64</v>
          </cell>
          <cell r="L136">
            <v>585.9</v>
          </cell>
          <cell r="M136">
            <v>697.5</v>
          </cell>
          <cell r="N136">
            <v>871.875</v>
          </cell>
          <cell r="O136">
            <v>732.375</v>
          </cell>
        </row>
        <row r="137">
          <cell r="C137" t="str">
            <v>CGI Sheet(22 gauge) 10'</v>
          </cell>
          <cell r="D137">
            <v>888</v>
          </cell>
          <cell r="E137" t="str">
            <v>Nos</v>
          </cell>
          <cell r="G137">
            <v>990.12</v>
          </cell>
          <cell r="H137">
            <v>990.12</v>
          </cell>
          <cell r="I137">
            <v>1110</v>
          </cell>
          <cell r="J137">
            <v>932.40000000000009</v>
          </cell>
          <cell r="K137">
            <v>959.04000000000008</v>
          </cell>
          <cell r="L137">
            <v>932.40000000000009</v>
          </cell>
          <cell r="M137">
            <v>1110</v>
          </cell>
          <cell r="N137">
            <v>1387.5</v>
          </cell>
          <cell r="O137">
            <v>1165.5</v>
          </cell>
        </row>
        <row r="138">
          <cell r="C138" t="str">
            <v>CGI Sheet(20 gauge) 10'</v>
          </cell>
          <cell r="D138">
            <v>1088</v>
          </cell>
          <cell r="E138" t="str">
            <v>Nos</v>
          </cell>
          <cell r="G138">
            <v>1213.1199999999999</v>
          </cell>
          <cell r="H138">
            <v>1213.1199999999999</v>
          </cell>
          <cell r="I138">
            <v>1360</v>
          </cell>
          <cell r="J138">
            <v>1142.4000000000001</v>
          </cell>
          <cell r="K138">
            <v>1175.04</v>
          </cell>
          <cell r="L138">
            <v>1142.4000000000001</v>
          </cell>
          <cell r="M138">
            <v>1360</v>
          </cell>
          <cell r="N138">
            <v>1700</v>
          </cell>
          <cell r="O138">
            <v>1428</v>
          </cell>
        </row>
        <row r="139">
          <cell r="C139" t="str">
            <v>CGI Sheet(18 gauge) 10'</v>
          </cell>
          <cell r="D139">
            <v>1288</v>
          </cell>
          <cell r="E139" t="str">
            <v>Nos</v>
          </cell>
          <cell r="G139">
            <v>1436.12</v>
          </cell>
          <cell r="H139">
            <v>1436.12</v>
          </cell>
          <cell r="I139">
            <v>1610</v>
          </cell>
          <cell r="J139">
            <v>1352.4</v>
          </cell>
          <cell r="K139">
            <v>1391.0400000000002</v>
          </cell>
          <cell r="L139">
            <v>1352.4</v>
          </cell>
          <cell r="M139">
            <v>1610</v>
          </cell>
          <cell r="N139">
            <v>2012.5</v>
          </cell>
          <cell r="O139">
            <v>1690.5</v>
          </cell>
        </row>
        <row r="140">
          <cell r="C140" t="str">
            <v>CGI Plain Sheet</v>
          </cell>
          <cell r="D140">
            <v>68</v>
          </cell>
          <cell r="E140" t="str">
            <v>Sqm</v>
          </cell>
          <cell r="G140">
            <v>75.819999999999993</v>
          </cell>
          <cell r="H140">
            <v>75.819999999999993</v>
          </cell>
          <cell r="I140">
            <v>85</v>
          </cell>
          <cell r="J140">
            <v>71.400000000000006</v>
          </cell>
          <cell r="K140">
            <v>73.44</v>
          </cell>
          <cell r="L140">
            <v>71.400000000000006</v>
          </cell>
          <cell r="M140">
            <v>85</v>
          </cell>
          <cell r="N140">
            <v>106.25</v>
          </cell>
          <cell r="O140">
            <v>89.25</v>
          </cell>
        </row>
        <row r="141">
          <cell r="C141" t="str">
            <v>AC ridge</v>
          </cell>
          <cell r="D141">
            <v>126</v>
          </cell>
          <cell r="E141" t="str">
            <v>Rmt</v>
          </cell>
          <cell r="G141">
            <v>140.49</v>
          </cell>
          <cell r="H141">
            <v>140.49</v>
          </cell>
          <cell r="I141">
            <v>157.5</v>
          </cell>
          <cell r="J141">
            <v>132.30000000000001</v>
          </cell>
          <cell r="K141">
            <v>136.08000000000001</v>
          </cell>
          <cell r="L141">
            <v>132.30000000000001</v>
          </cell>
          <cell r="M141">
            <v>157.5</v>
          </cell>
          <cell r="N141">
            <v>196.875</v>
          </cell>
          <cell r="O141">
            <v>165.375</v>
          </cell>
        </row>
        <row r="142">
          <cell r="C142" t="str">
            <v>Bitumen Washer</v>
          </cell>
          <cell r="D142">
            <v>0.25</v>
          </cell>
          <cell r="E142" t="str">
            <v>Nos</v>
          </cell>
          <cell r="G142">
            <v>0.27875</v>
          </cell>
          <cell r="H142">
            <v>0.27875</v>
          </cell>
          <cell r="I142">
            <v>0.3125</v>
          </cell>
          <cell r="J142">
            <v>0.26250000000000001</v>
          </cell>
          <cell r="K142">
            <v>0.27</v>
          </cell>
          <cell r="L142">
            <v>0.26250000000000001</v>
          </cell>
          <cell r="M142">
            <v>0.3125</v>
          </cell>
          <cell r="N142">
            <v>0.390625</v>
          </cell>
          <cell r="O142">
            <v>0.328125</v>
          </cell>
        </row>
        <row r="143">
          <cell r="C143" t="str">
            <v>Limpet washer</v>
          </cell>
          <cell r="D143">
            <v>52</v>
          </cell>
          <cell r="E143" t="str">
            <v>100 nos</v>
          </cell>
          <cell r="G143">
            <v>57.98</v>
          </cell>
          <cell r="H143">
            <v>57.98</v>
          </cell>
          <cell r="I143">
            <v>65</v>
          </cell>
          <cell r="J143">
            <v>54.6</v>
          </cell>
          <cell r="K143">
            <v>56.160000000000004</v>
          </cell>
          <cell r="L143">
            <v>54.6</v>
          </cell>
          <cell r="M143">
            <v>65</v>
          </cell>
          <cell r="N143">
            <v>81.25</v>
          </cell>
          <cell r="O143">
            <v>68.25</v>
          </cell>
        </row>
        <row r="144">
          <cell r="C144" t="str">
            <v>G.I.Washer</v>
          </cell>
          <cell r="D144">
            <v>50</v>
          </cell>
          <cell r="E144" t="str">
            <v>100 nos</v>
          </cell>
          <cell r="G144">
            <v>55.75</v>
          </cell>
          <cell r="H144">
            <v>55.75</v>
          </cell>
          <cell r="I144">
            <v>62.5</v>
          </cell>
          <cell r="J144">
            <v>52.5</v>
          </cell>
          <cell r="K144">
            <v>54</v>
          </cell>
          <cell r="L144">
            <v>52.5</v>
          </cell>
          <cell r="M144">
            <v>62.5</v>
          </cell>
          <cell r="N144">
            <v>78.125</v>
          </cell>
          <cell r="O144">
            <v>65.625</v>
          </cell>
        </row>
        <row r="145">
          <cell r="C145" t="str">
            <v>GI seam bolts and nuts</v>
          </cell>
          <cell r="D145">
            <v>125</v>
          </cell>
          <cell r="E145" t="str">
            <v>100 nos</v>
          </cell>
          <cell r="G145">
            <v>139.375</v>
          </cell>
          <cell r="H145">
            <v>139.375</v>
          </cell>
          <cell r="I145">
            <v>156.25</v>
          </cell>
          <cell r="J145">
            <v>131.25</v>
          </cell>
          <cell r="K145">
            <v>135</v>
          </cell>
          <cell r="L145">
            <v>131.25</v>
          </cell>
          <cell r="M145">
            <v>156.25</v>
          </cell>
          <cell r="N145">
            <v>195.3125</v>
          </cell>
          <cell r="O145">
            <v>164.0625</v>
          </cell>
        </row>
        <row r="146">
          <cell r="C146" t="str">
            <v>Tar felt sheet(1m width)</v>
          </cell>
          <cell r="D146">
            <v>750</v>
          </cell>
          <cell r="E146" t="str">
            <v>Rmt per roll</v>
          </cell>
          <cell r="F146" t="str">
            <v>GRS 257/87-4/02</v>
          </cell>
          <cell r="G146">
            <v>836.25</v>
          </cell>
          <cell r="H146">
            <v>836.25</v>
          </cell>
          <cell r="I146">
            <v>937.5</v>
          </cell>
          <cell r="J146">
            <v>787.5</v>
          </cell>
          <cell r="K146">
            <v>810</v>
          </cell>
          <cell r="L146">
            <v>787.5</v>
          </cell>
          <cell r="M146">
            <v>937.5</v>
          </cell>
          <cell r="N146">
            <v>1171.875</v>
          </cell>
          <cell r="O146">
            <v>984.375</v>
          </cell>
        </row>
        <row r="147">
          <cell r="C147" t="str">
            <v>Eye Hook Aluminium 15 mm</v>
          </cell>
          <cell r="D147">
            <v>10</v>
          </cell>
          <cell r="E147" t="str">
            <v>Nos</v>
          </cell>
          <cell r="G147">
            <v>11.15</v>
          </cell>
          <cell r="H147">
            <v>10.927000000000001</v>
          </cell>
          <cell r="I147">
            <v>12.5</v>
          </cell>
          <cell r="J147">
            <v>10.5</v>
          </cell>
          <cell r="K147">
            <v>10.8</v>
          </cell>
          <cell r="L147">
            <v>10.5</v>
          </cell>
          <cell r="M147">
            <v>12.5</v>
          </cell>
          <cell r="N147">
            <v>15.625</v>
          </cell>
          <cell r="O147">
            <v>13.125</v>
          </cell>
        </row>
        <row r="148">
          <cell r="C148" t="str">
            <v>GI L-Hook 6mm dia</v>
          </cell>
          <cell r="D148">
            <v>6</v>
          </cell>
          <cell r="E148" t="str">
            <v>Nos</v>
          </cell>
          <cell r="G148">
            <v>6.6899999999999995</v>
          </cell>
          <cell r="H148">
            <v>6.69</v>
          </cell>
          <cell r="I148">
            <v>7.5</v>
          </cell>
          <cell r="J148">
            <v>6.3000000000000007</v>
          </cell>
          <cell r="K148">
            <v>6.48</v>
          </cell>
          <cell r="L148">
            <v>6.3000000000000007</v>
          </cell>
          <cell r="M148">
            <v>7.5</v>
          </cell>
          <cell r="N148">
            <v>9.375</v>
          </cell>
          <cell r="O148">
            <v>7.8750000000000009</v>
          </cell>
        </row>
        <row r="149">
          <cell r="C149" t="str">
            <v>GI J -Hook 6 mm dia</v>
          </cell>
          <cell r="D149">
            <v>6</v>
          </cell>
          <cell r="E149" t="str">
            <v>Nos</v>
          </cell>
          <cell r="G149">
            <v>6.6899999999999995</v>
          </cell>
          <cell r="H149">
            <v>6.69</v>
          </cell>
          <cell r="I149">
            <v>7.5</v>
          </cell>
          <cell r="J149">
            <v>6.3000000000000007</v>
          </cell>
          <cell r="K149">
            <v>6.48</v>
          </cell>
          <cell r="L149">
            <v>6.3000000000000007</v>
          </cell>
          <cell r="M149">
            <v>7.5</v>
          </cell>
          <cell r="N149">
            <v>9.375</v>
          </cell>
          <cell r="O149">
            <v>7.8750000000000009</v>
          </cell>
        </row>
        <row r="150">
          <cell r="C150" t="str">
            <v>Electric detonator</v>
          </cell>
          <cell r="D150">
            <v>30.2</v>
          </cell>
          <cell r="E150" t="str">
            <v>Nos</v>
          </cell>
          <cell r="F150" t="str">
            <v xml:space="preserve">Rates from  A.C.E. Office  </v>
          </cell>
          <cell r="G150">
            <v>61.305999999999997</v>
          </cell>
          <cell r="H150">
            <v>61.305999999999997</v>
          </cell>
          <cell r="I150">
            <v>61.30599999999999</v>
          </cell>
          <cell r="J150">
            <v>61.31</v>
          </cell>
          <cell r="K150">
            <v>32.616</v>
          </cell>
          <cell r="L150">
            <v>31.71</v>
          </cell>
          <cell r="M150">
            <v>37.75</v>
          </cell>
          <cell r="N150">
            <v>124.45117999999997</v>
          </cell>
          <cell r="O150">
            <v>124.4593</v>
          </cell>
        </row>
        <row r="151">
          <cell r="C151" t="str">
            <v>Ordinary detonator</v>
          </cell>
          <cell r="D151">
            <v>1.32</v>
          </cell>
          <cell r="E151" t="str">
            <v>Nos</v>
          </cell>
          <cell r="F151" t="str">
            <v>GRS 274/31-5/05</v>
          </cell>
          <cell r="G151">
            <v>2.6796000000000002</v>
          </cell>
          <cell r="H151">
            <v>2.6796000000000002</v>
          </cell>
          <cell r="I151">
            <v>2.6795999999999998</v>
          </cell>
          <cell r="J151">
            <v>2.68</v>
          </cell>
          <cell r="K151">
            <v>2.68</v>
          </cell>
          <cell r="L151">
            <v>1.3860000000000001</v>
          </cell>
          <cell r="M151">
            <v>1.6500000000000001</v>
          </cell>
          <cell r="N151">
            <v>5.4395879999999988</v>
          </cell>
          <cell r="O151">
            <v>5.4403999999999995</v>
          </cell>
        </row>
        <row r="152">
          <cell r="C152" t="str">
            <v>Gelatine</v>
          </cell>
          <cell r="D152">
            <v>204</v>
          </cell>
          <cell r="E152" t="str">
            <v>Mt</v>
          </cell>
          <cell r="F152" t="str">
            <v xml:space="preserve">Rates from  A.C.E. Office  </v>
          </cell>
          <cell r="G152">
            <v>414</v>
          </cell>
          <cell r="H152">
            <v>414</v>
          </cell>
          <cell r="I152">
            <v>414.11999999999995</v>
          </cell>
          <cell r="J152">
            <v>414.12</v>
          </cell>
          <cell r="K152">
            <v>220.32000000000002</v>
          </cell>
          <cell r="L152">
            <v>214.20000000000002</v>
          </cell>
          <cell r="M152">
            <v>255</v>
          </cell>
          <cell r="N152">
            <v>840.66359999999986</v>
          </cell>
          <cell r="O152">
            <v>840.66359999999997</v>
          </cell>
        </row>
        <row r="153">
          <cell r="C153" t="str">
            <v>Fuse wire</v>
          </cell>
          <cell r="D153">
            <v>2.12</v>
          </cell>
          <cell r="E153" t="str">
            <v>Rmt</v>
          </cell>
          <cell r="F153" t="str">
            <v xml:space="preserve">Rates from  A.C.E. Office  </v>
          </cell>
          <cell r="G153">
            <v>4.3036000000000003</v>
          </cell>
          <cell r="H153">
            <v>4.3036000000000003</v>
          </cell>
          <cell r="I153">
            <v>4.3035999999999994</v>
          </cell>
          <cell r="J153">
            <v>4.3</v>
          </cell>
          <cell r="K153">
            <v>2.2896000000000001</v>
          </cell>
          <cell r="L153">
            <v>2.2260000000000004</v>
          </cell>
          <cell r="M153">
            <v>2.6500000000000004</v>
          </cell>
          <cell r="N153">
            <v>8.7363079999999975</v>
          </cell>
          <cell r="O153">
            <v>8.7289999999999992</v>
          </cell>
        </row>
        <row r="154">
          <cell r="C154" t="str">
            <v>Powder</v>
          </cell>
          <cell r="D154">
            <v>45</v>
          </cell>
          <cell r="E154" t="str">
            <v>Kg</v>
          </cell>
          <cell r="G154">
            <v>50.174999999999997</v>
          </cell>
          <cell r="H154">
            <v>50.174999999999997</v>
          </cell>
          <cell r="I154">
            <v>56.25</v>
          </cell>
          <cell r="J154">
            <v>47.25</v>
          </cell>
          <cell r="K154">
            <v>48.6</v>
          </cell>
          <cell r="L154">
            <v>47.25</v>
          </cell>
          <cell r="M154">
            <v>56.25</v>
          </cell>
          <cell r="N154">
            <v>70.3125</v>
          </cell>
          <cell r="O154">
            <v>59.0625</v>
          </cell>
        </row>
        <row r="155">
          <cell r="C155" t="str">
            <v>GI Pipe 1/2" dia</v>
          </cell>
          <cell r="D155">
            <v>290</v>
          </cell>
          <cell r="E155" t="str">
            <v>per pipe</v>
          </cell>
          <cell r="G155">
            <v>323.35000000000002</v>
          </cell>
          <cell r="H155">
            <v>33.450000000000003</v>
          </cell>
          <cell r="I155">
            <v>362.5</v>
          </cell>
          <cell r="J155">
            <v>304.5</v>
          </cell>
          <cell r="K155">
            <v>313.20000000000005</v>
          </cell>
          <cell r="L155">
            <v>304.5</v>
          </cell>
          <cell r="M155">
            <v>362.5</v>
          </cell>
          <cell r="N155">
            <v>453.125</v>
          </cell>
          <cell r="O155">
            <v>380.625</v>
          </cell>
        </row>
        <row r="156">
          <cell r="C156" t="str">
            <v>GI Pipe 3/4" dia</v>
          </cell>
          <cell r="D156">
            <v>330</v>
          </cell>
          <cell r="E156" t="str">
            <v>per pipe</v>
          </cell>
          <cell r="G156">
            <v>367.95</v>
          </cell>
          <cell r="H156">
            <v>40.284950000000002</v>
          </cell>
          <cell r="I156">
            <v>412.5</v>
          </cell>
          <cell r="J156">
            <v>346.5</v>
          </cell>
          <cell r="K156">
            <v>356.40000000000003</v>
          </cell>
          <cell r="L156">
            <v>346.5</v>
          </cell>
          <cell r="M156">
            <v>412.5</v>
          </cell>
          <cell r="N156">
            <v>515.625</v>
          </cell>
          <cell r="O156">
            <v>433.125</v>
          </cell>
        </row>
        <row r="157">
          <cell r="C157" t="str">
            <v>GI Pipe 1" dia</v>
          </cell>
          <cell r="D157">
            <v>590</v>
          </cell>
          <cell r="E157" t="str">
            <v>per pipe</v>
          </cell>
          <cell r="G157">
            <v>657.85</v>
          </cell>
          <cell r="H157">
            <v>60.522199999999998</v>
          </cell>
          <cell r="I157">
            <v>737.5</v>
          </cell>
          <cell r="J157">
            <v>619.5</v>
          </cell>
          <cell r="K157">
            <v>637.20000000000005</v>
          </cell>
          <cell r="L157">
            <v>619.5</v>
          </cell>
          <cell r="M157">
            <v>737.5</v>
          </cell>
          <cell r="N157">
            <v>921.875</v>
          </cell>
          <cell r="O157">
            <v>774.375</v>
          </cell>
        </row>
        <row r="158">
          <cell r="C158" t="str">
            <v>GI Pipe 1-1/2" dia</v>
          </cell>
          <cell r="D158">
            <v>790</v>
          </cell>
          <cell r="E158" t="str">
            <v>per pipe</v>
          </cell>
          <cell r="G158">
            <v>880.85</v>
          </cell>
          <cell r="H158">
            <v>89.891300000000001</v>
          </cell>
          <cell r="I158">
            <v>987.5</v>
          </cell>
          <cell r="J158">
            <v>829.5</v>
          </cell>
          <cell r="K158">
            <v>853.2</v>
          </cell>
          <cell r="L158">
            <v>829.5</v>
          </cell>
          <cell r="M158">
            <v>987.5</v>
          </cell>
          <cell r="N158">
            <v>1234.375</v>
          </cell>
          <cell r="O158">
            <v>1036.875</v>
          </cell>
        </row>
        <row r="159">
          <cell r="C159" t="str">
            <v>GI Pipe 2" dia</v>
          </cell>
          <cell r="D159">
            <v>1200</v>
          </cell>
          <cell r="E159" t="str">
            <v>per pipe</v>
          </cell>
          <cell r="G159">
            <v>1338</v>
          </cell>
          <cell r="H159">
            <v>125.63820000000001</v>
          </cell>
          <cell r="I159">
            <v>1500</v>
          </cell>
          <cell r="J159">
            <v>1260</v>
          </cell>
          <cell r="K159">
            <v>1296</v>
          </cell>
          <cell r="L159">
            <v>1260</v>
          </cell>
          <cell r="M159">
            <v>1500</v>
          </cell>
          <cell r="N159">
            <v>1875</v>
          </cell>
          <cell r="O159">
            <v>1575</v>
          </cell>
        </row>
        <row r="160">
          <cell r="C160" t="str">
            <v>GI Pipe 2-1/2" dia</v>
          </cell>
          <cell r="D160">
            <v>1599</v>
          </cell>
          <cell r="E160" t="str">
            <v>per pipe</v>
          </cell>
          <cell r="G160">
            <v>1782.885</v>
          </cell>
          <cell r="H160">
            <v>159.22200000000001</v>
          </cell>
          <cell r="I160">
            <v>1998.75</v>
          </cell>
          <cell r="J160">
            <v>1678.95</v>
          </cell>
          <cell r="K160">
            <v>1726.92</v>
          </cell>
          <cell r="L160">
            <v>1678.95</v>
          </cell>
          <cell r="M160">
            <v>1998.75</v>
          </cell>
          <cell r="N160">
            <v>2498.4375</v>
          </cell>
          <cell r="O160">
            <v>2098.6875</v>
          </cell>
        </row>
        <row r="161">
          <cell r="C161" t="str">
            <v>GI Pipe 3" dia</v>
          </cell>
          <cell r="D161">
            <v>2175</v>
          </cell>
          <cell r="E161" t="str">
            <v>per pipe</v>
          </cell>
          <cell r="G161">
            <v>2425.125</v>
          </cell>
          <cell r="H161">
            <v>201.65890000000002</v>
          </cell>
          <cell r="I161">
            <v>2718.75</v>
          </cell>
          <cell r="J161">
            <v>2283.75</v>
          </cell>
          <cell r="K161">
            <v>2349</v>
          </cell>
          <cell r="L161">
            <v>2283.75</v>
          </cell>
          <cell r="M161">
            <v>2718.75</v>
          </cell>
          <cell r="N161">
            <v>3398.4375</v>
          </cell>
          <cell r="O161">
            <v>2854.6875</v>
          </cell>
        </row>
        <row r="162">
          <cell r="C162" t="str">
            <v>GI Pipe 4" dia</v>
          </cell>
          <cell r="D162">
            <v>2920</v>
          </cell>
          <cell r="E162" t="str">
            <v>per pipe</v>
          </cell>
          <cell r="G162">
            <v>3255.8</v>
          </cell>
          <cell r="H162">
            <v>287.22400000000005</v>
          </cell>
          <cell r="I162">
            <v>3650</v>
          </cell>
          <cell r="J162">
            <v>3066</v>
          </cell>
          <cell r="K162">
            <v>3153.6000000000004</v>
          </cell>
          <cell r="L162">
            <v>3066</v>
          </cell>
          <cell r="M162">
            <v>3650</v>
          </cell>
          <cell r="N162">
            <v>4562.5</v>
          </cell>
          <cell r="O162">
            <v>3832.5</v>
          </cell>
        </row>
        <row r="163">
          <cell r="C163" t="str">
            <v>GI Pipe 6" dia</v>
          </cell>
          <cell r="D163">
            <v>370</v>
          </cell>
          <cell r="E163" t="str">
            <v>Rmt</v>
          </cell>
          <cell r="G163">
            <v>412.55</v>
          </cell>
          <cell r="H163">
            <v>412.82875000000001</v>
          </cell>
          <cell r="I163">
            <v>462.5</v>
          </cell>
          <cell r="J163">
            <v>388.5</v>
          </cell>
          <cell r="K163">
            <v>399.6</v>
          </cell>
          <cell r="L163">
            <v>388.5</v>
          </cell>
          <cell r="M163">
            <v>462.5</v>
          </cell>
          <cell r="N163">
            <v>578.125</v>
          </cell>
          <cell r="O163">
            <v>485.625</v>
          </cell>
        </row>
        <row r="164">
          <cell r="C164" t="str">
            <v>GI Elbow 1/2" dia</v>
          </cell>
          <cell r="D164">
            <v>9</v>
          </cell>
          <cell r="E164" t="str">
            <v>Nos</v>
          </cell>
          <cell r="G164">
            <v>10.035</v>
          </cell>
          <cell r="H164">
            <v>9.4217499999999994</v>
          </cell>
          <cell r="I164">
            <v>11.25</v>
          </cell>
          <cell r="J164">
            <v>9.4500000000000011</v>
          </cell>
          <cell r="K164">
            <v>9.7200000000000006</v>
          </cell>
          <cell r="L164">
            <v>9.4500000000000011</v>
          </cell>
          <cell r="M164">
            <v>11.25</v>
          </cell>
          <cell r="N164">
            <v>14.0625</v>
          </cell>
          <cell r="O164">
            <v>11.812500000000002</v>
          </cell>
        </row>
        <row r="165">
          <cell r="C165" t="str">
            <v>3/4" dia</v>
          </cell>
          <cell r="D165">
            <v>7</v>
          </cell>
          <cell r="E165" t="str">
            <v>Nos.</v>
          </cell>
          <cell r="G165">
            <v>7.8049999999999997</v>
          </cell>
          <cell r="H165">
            <v>7.6043000000000003</v>
          </cell>
          <cell r="I165">
            <v>8.75</v>
          </cell>
          <cell r="J165">
            <v>7.3500000000000005</v>
          </cell>
          <cell r="K165">
            <v>7.5600000000000005</v>
          </cell>
          <cell r="L165">
            <v>7.3500000000000005</v>
          </cell>
          <cell r="M165">
            <v>8.75</v>
          </cell>
          <cell r="N165">
            <v>10.9375</v>
          </cell>
          <cell r="O165">
            <v>9.1875</v>
          </cell>
        </row>
        <row r="166">
          <cell r="C166" t="str">
            <v>1" dia</v>
          </cell>
          <cell r="D166">
            <v>10</v>
          </cell>
          <cell r="E166" t="str">
            <v>Nos.</v>
          </cell>
          <cell r="G166">
            <v>11.15</v>
          </cell>
          <cell r="H166">
            <v>10.982749999999999</v>
          </cell>
          <cell r="I166">
            <v>12.5</v>
          </cell>
          <cell r="J166">
            <v>10.5</v>
          </cell>
          <cell r="K166">
            <v>10.8</v>
          </cell>
          <cell r="L166">
            <v>10.5</v>
          </cell>
          <cell r="M166">
            <v>12.5</v>
          </cell>
          <cell r="N166">
            <v>15.625</v>
          </cell>
          <cell r="O166">
            <v>13.125</v>
          </cell>
        </row>
        <row r="167">
          <cell r="C167" t="str">
            <v>1-1/2" dia</v>
          </cell>
          <cell r="D167">
            <v>23</v>
          </cell>
          <cell r="E167" t="str">
            <v>Nos.</v>
          </cell>
          <cell r="G167">
            <v>25.645</v>
          </cell>
          <cell r="H167">
            <v>25.65615</v>
          </cell>
          <cell r="I167">
            <v>28.75</v>
          </cell>
          <cell r="J167">
            <v>24.150000000000002</v>
          </cell>
          <cell r="K167">
            <v>24.840000000000003</v>
          </cell>
          <cell r="L167">
            <v>24.150000000000002</v>
          </cell>
          <cell r="M167">
            <v>28.75</v>
          </cell>
          <cell r="N167">
            <v>35.9375</v>
          </cell>
          <cell r="O167">
            <v>30.187500000000004</v>
          </cell>
        </row>
        <row r="168">
          <cell r="C168" t="str">
            <v>2" dia</v>
          </cell>
          <cell r="D168">
            <v>37</v>
          </cell>
          <cell r="E168" t="str">
            <v>Nos.</v>
          </cell>
          <cell r="G168">
            <v>41.255000000000003</v>
          </cell>
          <cell r="H168">
            <v>41.221550000000001</v>
          </cell>
          <cell r="I168">
            <v>46.25</v>
          </cell>
          <cell r="J168">
            <v>38.85</v>
          </cell>
          <cell r="K168">
            <v>39.96</v>
          </cell>
          <cell r="L168">
            <v>38.85</v>
          </cell>
          <cell r="M168">
            <v>46.25</v>
          </cell>
          <cell r="N168">
            <v>57.8125</v>
          </cell>
          <cell r="O168">
            <v>48.5625</v>
          </cell>
        </row>
        <row r="169">
          <cell r="C169" t="str">
            <v>3" dia</v>
          </cell>
          <cell r="D169">
            <v>86</v>
          </cell>
          <cell r="E169" t="str">
            <v>Nos.</v>
          </cell>
          <cell r="G169">
            <v>95.89</v>
          </cell>
          <cell r="H169">
            <v>95.89</v>
          </cell>
          <cell r="I169">
            <v>107.5</v>
          </cell>
          <cell r="J169">
            <v>90.3</v>
          </cell>
          <cell r="K169">
            <v>92.88000000000001</v>
          </cell>
          <cell r="L169">
            <v>90.3</v>
          </cell>
          <cell r="M169">
            <v>107.5</v>
          </cell>
          <cell r="N169">
            <v>134.375</v>
          </cell>
          <cell r="O169">
            <v>112.875</v>
          </cell>
        </row>
        <row r="170">
          <cell r="C170" t="str">
            <v>4" dia</v>
          </cell>
          <cell r="D170">
            <v>158</v>
          </cell>
          <cell r="E170" t="str">
            <v>Nos.</v>
          </cell>
          <cell r="G170">
            <v>176.17</v>
          </cell>
          <cell r="H170">
            <v>176.44874999999999</v>
          </cell>
          <cell r="I170">
            <v>197.5</v>
          </cell>
          <cell r="J170">
            <v>165.9</v>
          </cell>
          <cell r="K170">
            <v>170.64000000000001</v>
          </cell>
          <cell r="L170">
            <v>165.9</v>
          </cell>
          <cell r="M170">
            <v>197.5</v>
          </cell>
          <cell r="N170">
            <v>246.875</v>
          </cell>
          <cell r="O170">
            <v>207.375</v>
          </cell>
        </row>
        <row r="171">
          <cell r="C171" t="str">
            <v>GI bend 1/2" dia</v>
          </cell>
          <cell r="D171">
            <v>10</v>
          </cell>
          <cell r="E171" t="str">
            <v>Nos.</v>
          </cell>
          <cell r="G171">
            <v>11.15</v>
          </cell>
          <cell r="H171">
            <v>10.75975</v>
          </cell>
          <cell r="I171">
            <v>12.5</v>
          </cell>
          <cell r="J171">
            <v>10.5</v>
          </cell>
          <cell r="K171">
            <v>10.8</v>
          </cell>
          <cell r="L171">
            <v>10.5</v>
          </cell>
          <cell r="M171">
            <v>12.5</v>
          </cell>
          <cell r="N171">
            <v>15.625</v>
          </cell>
          <cell r="O171">
            <v>13.125</v>
          </cell>
        </row>
        <row r="172">
          <cell r="C172" t="str">
            <v>3/4" dia</v>
          </cell>
          <cell r="D172">
            <v>15</v>
          </cell>
          <cell r="E172" t="str">
            <v>Nos.</v>
          </cell>
          <cell r="G172">
            <v>16.725000000000001</v>
          </cell>
          <cell r="H172">
            <v>16.892250000000001</v>
          </cell>
          <cell r="I172">
            <v>18.75</v>
          </cell>
          <cell r="J172">
            <v>15.75</v>
          </cell>
          <cell r="K172">
            <v>16.200000000000003</v>
          </cell>
          <cell r="L172">
            <v>15.75</v>
          </cell>
          <cell r="M172">
            <v>18.75</v>
          </cell>
          <cell r="N172">
            <v>23.4375</v>
          </cell>
          <cell r="O172">
            <v>19.6875</v>
          </cell>
        </row>
        <row r="173">
          <cell r="C173" t="str">
            <v>1" dia</v>
          </cell>
          <cell r="D173">
            <v>19</v>
          </cell>
          <cell r="E173" t="str">
            <v>Nos.</v>
          </cell>
          <cell r="G173">
            <v>21.184999999999999</v>
          </cell>
          <cell r="H173">
            <v>21.129249999999999</v>
          </cell>
          <cell r="I173">
            <v>23.75</v>
          </cell>
          <cell r="J173">
            <v>19.95</v>
          </cell>
          <cell r="K173">
            <v>20.520000000000003</v>
          </cell>
          <cell r="L173">
            <v>19.95</v>
          </cell>
          <cell r="M173">
            <v>23.75</v>
          </cell>
          <cell r="N173">
            <v>29.6875</v>
          </cell>
          <cell r="O173">
            <v>24.9375</v>
          </cell>
        </row>
        <row r="174">
          <cell r="C174" t="str">
            <v>1-1/2" dia</v>
          </cell>
          <cell r="D174">
            <v>48</v>
          </cell>
          <cell r="E174" t="str">
            <v>Nos.</v>
          </cell>
          <cell r="G174">
            <v>53.519999999999996</v>
          </cell>
          <cell r="H174">
            <v>53.52</v>
          </cell>
          <cell r="I174">
            <v>60</v>
          </cell>
          <cell r="J174">
            <v>50.400000000000006</v>
          </cell>
          <cell r="K174">
            <v>51.84</v>
          </cell>
          <cell r="L174">
            <v>50.400000000000006</v>
          </cell>
          <cell r="M174">
            <v>60</v>
          </cell>
          <cell r="N174">
            <v>75</v>
          </cell>
          <cell r="O174">
            <v>63.000000000000007</v>
          </cell>
        </row>
        <row r="175">
          <cell r="C175" t="str">
            <v>2" dia</v>
          </cell>
          <cell r="D175">
            <v>78</v>
          </cell>
          <cell r="E175" t="str">
            <v>Nos.</v>
          </cell>
          <cell r="G175">
            <v>86.97</v>
          </cell>
          <cell r="H175">
            <v>86.97</v>
          </cell>
          <cell r="I175">
            <v>97.5</v>
          </cell>
          <cell r="J175">
            <v>81.900000000000006</v>
          </cell>
          <cell r="K175">
            <v>84.240000000000009</v>
          </cell>
          <cell r="L175">
            <v>81.900000000000006</v>
          </cell>
          <cell r="M175">
            <v>97.5</v>
          </cell>
          <cell r="N175">
            <v>121.875</v>
          </cell>
          <cell r="O175">
            <v>102.375</v>
          </cell>
        </row>
        <row r="176">
          <cell r="C176" t="str">
            <v>3" dia</v>
          </cell>
          <cell r="D176">
            <v>185</v>
          </cell>
          <cell r="E176" t="str">
            <v>Nos.</v>
          </cell>
          <cell r="G176">
            <v>206.27500000000001</v>
          </cell>
          <cell r="H176">
            <v>206.27500000000001</v>
          </cell>
          <cell r="I176">
            <v>231.25</v>
          </cell>
          <cell r="J176">
            <v>194.25</v>
          </cell>
          <cell r="K176">
            <v>199.8</v>
          </cell>
          <cell r="L176">
            <v>194.25</v>
          </cell>
          <cell r="M176">
            <v>231.25</v>
          </cell>
          <cell r="N176">
            <v>289.0625</v>
          </cell>
          <cell r="O176">
            <v>242.8125</v>
          </cell>
        </row>
        <row r="177">
          <cell r="C177" t="str">
            <v>4" dia</v>
          </cell>
          <cell r="D177">
            <v>210</v>
          </cell>
          <cell r="E177" t="str">
            <v>Nos.</v>
          </cell>
          <cell r="G177">
            <v>234.15</v>
          </cell>
          <cell r="H177">
            <v>234.15</v>
          </cell>
          <cell r="I177">
            <v>262.5</v>
          </cell>
          <cell r="J177">
            <v>220.5</v>
          </cell>
          <cell r="K177">
            <v>226.8</v>
          </cell>
          <cell r="L177">
            <v>220.5</v>
          </cell>
          <cell r="M177">
            <v>262.5</v>
          </cell>
          <cell r="N177">
            <v>328.125</v>
          </cell>
          <cell r="O177">
            <v>275.625</v>
          </cell>
        </row>
        <row r="178">
          <cell r="C178" t="str">
            <v>GI Tee 1/2" dia</v>
          </cell>
          <cell r="D178">
            <v>7</v>
          </cell>
          <cell r="E178" t="str">
            <v>Nos.</v>
          </cell>
          <cell r="G178">
            <v>7.8049999999999997</v>
          </cell>
          <cell r="H178">
            <v>7.1917499999999999</v>
          </cell>
          <cell r="I178">
            <v>8.75</v>
          </cell>
          <cell r="J178">
            <v>7.3500000000000005</v>
          </cell>
          <cell r="K178">
            <v>7.5600000000000005</v>
          </cell>
          <cell r="L178">
            <v>7.3500000000000005</v>
          </cell>
          <cell r="M178">
            <v>8.75</v>
          </cell>
          <cell r="N178">
            <v>10.9375</v>
          </cell>
          <cell r="O178">
            <v>9.1875</v>
          </cell>
        </row>
        <row r="179">
          <cell r="C179" t="str">
            <v>GI Tee 3/4" dia</v>
          </cell>
          <cell r="D179">
            <v>10</v>
          </cell>
          <cell r="E179" t="str">
            <v>Nos.</v>
          </cell>
          <cell r="G179">
            <v>11.15</v>
          </cell>
          <cell r="H179">
            <v>10.726299999999998</v>
          </cell>
          <cell r="I179">
            <v>12.5</v>
          </cell>
          <cell r="J179">
            <v>10.5</v>
          </cell>
          <cell r="K179">
            <v>10.8</v>
          </cell>
          <cell r="L179">
            <v>10.5</v>
          </cell>
          <cell r="M179">
            <v>12.5</v>
          </cell>
          <cell r="N179">
            <v>15.625</v>
          </cell>
          <cell r="O179">
            <v>13.125</v>
          </cell>
        </row>
        <row r="180">
          <cell r="C180" t="str">
            <v>GI Tee 1" dia</v>
          </cell>
          <cell r="D180">
            <v>14</v>
          </cell>
          <cell r="E180" t="str">
            <v>Nos.</v>
          </cell>
          <cell r="G180">
            <v>15.61</v>
          </cell>
          <cell r="H180">
            <v>15.308950000000001</v>
          </cell>
          <cell r="I180">
            <v>17.5</v>
          </cell>
          <cell r="J180">
            <v>14.700000000000001</v>
          </cell>
          <cell r="K180">
            <v>15.120000000000001</v>
          </cell>
          <cell r="L180">
            <v>14.700000000000001</v>
          </cell>
          <cell r="M180">
            <v>17.5</v>
          </cell>
          <cell r="N180">
            <v>21.875</v>
          </cell>
          <cell r="O180">
            <v>18.375</v>
          </cell>
        </row>
        <row r="181">
          <cell r="C181" t="str">
            <v>GI Tee 1-1/2" dia</v>
          </cell>
          <cell r="D181">
            <v>30</v>
          </cell>
          <cell r="E181" t="str">
            <v>Nos.</v>
          </cell>
          <cell r="G181">
            <v>33.450000000000003</v>
          </cell>
          <cell r="H181">
            <v>33.795649999999995</v>
          </cell>
          <cell r="I181">
            <v>37.5</v>
          </cell>
          <cell r="J181">
            <v>31.5</v>
          </cell>
          <cell r="K181">
            <v>32.400000000000006</v>
          </cell>
          <cell r="L181">
            <v>31.5</v>
          </cell>
          <cell r="M181">
            <v>37.5</v>
          </cell>
          <cell r="N181">
            <v>46.875</v>
          </cell>
          <cell r="O181">
            <v>39.375</v>
          </cell>
        </row>
        <row r="182">
          <cell r="C182" t="str">
            <v>GI Tee 2" dia</v>
          </cell>
          <cell r="D182">
            <v>50</v>
          </cell>
          <cell r="E182" t="str">
            <v>Nos.</v>
          </cell>
          <cell r="G182">
            <v>55.75</v>
          </cell>
          <cell r="H182">
            <v>55.649649999999994</v>
          </cell>
          <cell r="I182">
            <v>62.5</v>
          </cell>
          <cell r="J182">
            <v>52.5</v>
          </cell>
          <cell r="K182">
            <v>54</v>
          </cell>
          <cell r="L182">
            <v>52.5</v>
          </cell>
          <cell r="M182">
            <v>62.5</v>
          </cell>
          <cell r="N182">
            <v>78.125</v>
          </cell>
          <cell r="O182">
            <v>65.625</v>
          </cell>
        </row>
        <row r="183">
          <cell r="C183" t="str">
            <v>GI Tee 2-1/2" dia</v>
          </cell>
          <cell r="D183">
            <v>87</v>
          </cell>
          <cell r="E183" t="str">
            <v>Nos.</v>
          </cell>
          <cell r="G183">
            <v>97.004999999999995</v>
          </cell>
          <cell r="H183">
            <v>97.138800000000003</v>
          </cell>
          <cell r="I183">
            <v>108.75</v>
          </cell>
          <cell r="J183">
            <v>91.350000000000009</v>
          </cell>
          <cell r="K183">
            <v>93.960000000000008</v>
          </cell>
          <cell r="L183">
            <v>91.350000000000009</v>
          </cell>
          <cell r="M183">
            <v>108.75</v>
          </cell>
          <cell r="N183">
            <v>135.9375</v>
          </cell>
          <cell r="O183">
            <v>114.18750000000001</v>
          </cell>
        </row>
        <row r="184">
          <cell r="C184" t="str">
            <v>GI Tee 3" dia</v>
          </cell>
          <cell r="D184">
            <v>121</v>
          </cell>
          <cell r="E184" t="str">
            <v>Nos.</v>
          </cell>
          <cell r="G184">
            <v>134.91499999999999</v>
          </cell>
          <cell r="H184">
            <v>135.10454999999999</v>
          </cell>
          <cell r="I184">
            <v>151.25</v>
          </cell>
          <cell r="J184">
            <v>127.05000000000001</v>
          </cell>
          <cell r="K184">
            <v>130.68</v>
          </cell>
          <cell r="L184">
            <v>127.05000000000001</v>
          </cell>
          <cell r="M184">
            <v>151.25</v>
          </cell>
          <cell r="N184">
            <v>189.0625</v>
          </cell>
          <cell r="O184">
            <v>158.8125</v>
          </cell>
        </row>
        <row r="185">
          <cell r="C185" t="str">
            <v>GI Tee 4" dia</v>
          </cell>
          <cell r="D185">
            <v>201</v>
          </cell>
          <cell r="E185" t="str">
            <v>Nos.</v>
          </cell>
          <cell r="G185">
            <v>224.11500000000001</v>
          </cell>
          <cell r="H185">
            <v>223.64670000000001</v>
          </cell>
          <cell r="I185">
            <v>251.25</v>
          </cell>
          <cell r="J185">
            <v>211.05</v>
          </cell>
          <cell r="K185">
            <v>217.08</v>
          </cell>
          <cell r="L185">
            <v>211.05</v>
          </cell>
          <cell r="M185">
            <v>251.25</v>
          </cell>
          <cell r="N185">
            <v>314.0625</v>
          </cell>
          <cell r="O185">
            <v>263.8125</v>
          </cell>
        </row>
        <row r="186">
          <cell r="C186" t="str">
            <v>GI Tee 6" dia</v>
          </cell>
          <cell r="D186">
            <v>623</v>
          </cell>
          <cell r="E186" t="str">
            <v>Nos.</v>
          </cell>
          <cell r="G186">
            <v>694.64499999999998</v>
          </cell>
          <cell r="H186">
            <v>694.64499999999998</v>
          </cell>
          <cell r="I186">
            <v>778.75</v>
          </cell>
          <cell r="J186">
            <v>654.15</v>
          </cell>
          <cell r="K186">
            <v>672.84</v>
          </cell>
          <cell r="L186">
            <v>654.15</v>
          </cell>
          <cell r="M186">
            <v>778.75</v>
          </cell>
          <cell r="N186">
            <v>973.4375</v>
          </cell>
          <cell r="O186">
            <v>817.6875</v>
          </cell>
        </row>
        <row r="187">
          <cell r="C187" t="str">
            <v>GI Jam nut 25 mm</v>
          </cell>
          <cell r="D187">
            <v>9</v>
          </cell>
          <cell r="E187" t="str">
            <v>Nos.</v>
          </cell>
          <cell r="G187">
            <v>10.035</v>
          </cell>
          <cell r="H187">
            <v>10.035</v>
          </cell>
          <cell r="I187">
            <v>11.25</v>
          </cell>
          <cell r="J187">
            <v>9.4500000000000011</v>
          </cell>
          <cell r="K187">
            <v>9.7200000000000006</v>
          </cell>
          <cell r="L187">
            <v>9.4500000000000011</v>
          </cell>
          <cell r="M187">
            <v>11.25</v>
          </cell>
          <cell r="N187">
            <v>14.0625</v>
          </cell>
          <cell r="O187">
            <v>11.812500000000002</v>
          </cell>
        </row>
        <row r="188">
          <cell r="C188" t="str">
            <v>GI Jam nut 65 mm</v>
          </cell>
          <cell r="D188">
            <v>20</v>
          </cell>
          <cell r="E188" t="str">
            <v>Nos.</v>
          </cell>
          <cell r="G188">
            <v>22.3</v>
          </cell>
          <cell r="H188">
            <v>22.3</v>
          </cell>
          <cell r="I188">
            <v>25</v>
          </cell>
          <cell r="J188">
            <v>21</v>
          </cell>
          <cell r="K188">
            <v>21.6</v>
          </cell>
          <cell r="L188">
            <v>21</v>
          </cell>
          <cell r="M188">
            <v>25</v>
          </cell>
          <cell r="N188">
            <v>31.25</v>
          </cell>
          <cell r="O188">
            <v>26.25</v>
          </cell>
        </row>
        <row r="189">
          <cell r="C189" t="str">
            <v>GI Jam nut 125 mm</v>
          </cell>
          <cell r="D189">
            <v>38</v>
          </cell>
          <cell r="E189" t="str">
            <v>Nos.</v>
          </cell>
          <cell r="G189">
            <v>42.37</v>
          </cell>
          <cell r="H189">
            <v>42.37</v>
          </cell>
          <cell r="I189">
            <v>47.5</v>
          </cell>
          <cell r="J189">
            <v>39.9</v>
          </cell>
          <cell r="K189">
            <v>41.040000000000006</v>
          </cell>
          <cell r="L189">
            <v>39.9</v>
          </cell>
          <cell r="M189">
            <v>47.5</v>
          </cell>
          <cell r="N189">
            <v>59.375</v>
          </cell>
          <cell r="O189">
            <v>49.875</v>
          </cell>
        </row>
        <row r="190">
          <cell r="C190" t="str">
            <v>Reducer 3/4" x 1/2" dia</v>
          </cell>
          <cell r="D190">
            <v>5</v>
          </cell>
          <cell r="E190" t="str">
            <v>Nos.</v>
          </cell>
          <cell r="G190">
            <v>5.5750000000000002</v>
          </cell>
          <cell r="H190">
            <v>5.8091499999999998</v>
          </cell>
          <cell r="I190">
            <v>6.25</v>
          </cell>
          <cell r="J190">
            <v>5.25</v>
          </cell>
          <cell r="K190">
            <v>5.4</v>
          </cell>
          <cell r="L190">
            <v>5.25</v>
          </cell>
          <cell r="M190">
            <v>6.25</v>
          </cell>
          <cell r="N190">
            <v>7.8125</v>
          </cell>
          <cell r="O190">
            <v>6.5625</v>
          </cell>
        </row>
        <row r="191">
          <cell r="C191" t="str">
            <v>1" X 3/4" dia</v>
          </cell>
          <cell r="D191">
            <v>8</v>
          </cell>
          <cell r="E191" t="str">
            <v>Nos.</v>
          </cell>
          <cell r="G191">
            <v>8.92</v>
          </cell>
          <cell r="H191">
            <v>8.44055</v>
          </cell>
          <cell r="I191">
            <v>10</v>
          </cell>
          <cell r="J191">
            <v>8.4</v>
          </cell>
          <cell r="K191">
            <v>8.64</v>
          </cell>
          <cell r="L191">
            <v>8.4</v>
          </cell>
          <cell r="M191">
            <v>10</v>
          </cell>
          <cell r="N191">
            <v>12.5</v>
          </cell>
          <cell r="O191">
            <v>10.5</v>
          </cell>
        </row>
        <row r="192">
          <cell r="C192" t="str">
            <v>1" X 1/2" dia</v>
          </cell>
          <cell r="D192">
            <v>8</v>
          </cell>
          <cell r="E192" t="str">
            <v>Nos.</v>
          </cell>
          <cell r="G192">
            <v>8.92</v>
          </cell>
          <cell r="H192">
            <v>8.44055</v>
          </cell>
          <cell r="I192">
            <v>10</v>
          </cell>
          <cell r="J192">
            <v>8.4</v>
          </cell>
          <cell r="K192">
            <v>8.64</v>
          </cell>
          <cell r="L192">
            <v>8.4</v>
          </cell>
          <cell r="M192">
            <v>10</v>
          </cell>
          <cell r="N192">
            <v>12.5</v>
          </cell>
          <cell r="O192">
            <v>10.5</v>
          </cell>
        </row>
        <row r="193">
          <cell r="C193" t="str">
            <v>2" X 1" dia</v>
          </cell>
          <cell r="D193">
            <v>23</v>
          </cell>
          <cell r="E193" t="str">
            <v>Nos.</v>
          </cell>
          <cell r="G193">
            <v>25.645</v>
          </cell>
          <cell r="H193">
            <v>25.667300000000001</v>
          </cell>
          <cell r="I193">
            <v>28.75</v>
          </cell>
          <cell r="J193">
            <v>24.150000000000002</v>
          </cell>
          <cell r="K193">
            <v>24.840000000000003</v>
          </cell>
          <cell r="L193">
            <v>24.150000000000002</v>
          </cell>
          <cell r="M193">
            <v>28.75</v>
          </cell>
          <cell r="N193">
            <v>35.9375</v>
          </cell>
          <cell r="O193">
            <v>30.187500000000004</v>
          </cell>
        </row>
        <row r="194">
          <cell r="C194" t="str">
            <v>2" X 1-1/2" dia</v>
          </cell>
          <cell r="D194">
            <v>23</v>
          </cell>
          <cell r="E194" t="str">
            <v>Nos.</v>
          </cell>
          <cell r="G194">
            <v>25.645</v>
          </cell>
          <cell r="H194">
            <v>25.667300000000001</v>
          </cell>
          <cell r="I194">
            <v>28.75</v>
          </cell>
          <cell r="J194">
            <v>24.150000000000002</v>
          </cell>
          <cell r="K194">
            <v>24.840000000000003</v>
          </cell>
          <cell r="L194">
            <v>24.150000000000002</v>
          </cell>
          <cell r="M194">
            <v>28.75</v>
          </cell>
          <cell r="N194">
            <v>35.9375</v>
          </cell>
          <cell r="O194">
            <v>30.187500000000004</v>
          </cell>
        </row>
        <row r="195">
          <cell r="C195" t="str">
            <v>3" X 2" dia</v>
          </cell>
          <cell r="D195">
            <v>25</v>
          </cell>
          <cell r="E195" t="str">
            <v>Nos.</v>
          </cell>
          <cell r="G195">
            <v>27.875</v>
          </cell>
          <cell r="H195">
            <v>27.239449999999998</v>
          </cell>
          <cell r="I195">
            <v>31.25</v>
          </cell>
          <cell r="J195">
            <v>26.25</v>
          </cell>
          <cell r="K195">
            <v>27</v>
          </cell>
          <cell r="L195">
            <v>26.25</v>
          </cell>
          <cell r="M195">
            <v>31.25</v>
          </cell>
          <cell r="N195">
            <v>39.0625</v>
          </cell>
          <cell r="O195">
            <v>32.8125</v>
          </cell>
        </row>
        <row r="196">
          <cell r="C196" t="str">
            <v>4" X 3" dia</v>
          </cell>
          <cell r="D196">
            <v>88</v>
          </cell>
          <cell r="E196" t="str">
            <v>Nos.</v>
          </cell>
          <cell r="G196">
            <v>98.12</v>
          </cell>
          <cell r="H196">
            <v>98.209199999999996</v>
          </cell>
          <cell r="I196">
            <v>110</v>
          </cell>
          <cell r="J196">
            <v>92.4</v>
          </cell>
          <cell r="K196">
            <v>95.04</v>
          </cell>
          <cell r="L196">
            <v>92.4</v>
          </cell>
          <cell r="M196">
            <v>110</v>
          </cell>
          <cell r="N196">
            <v>137.5</v>
          </cell>
          <cell r="O196">
            <v>115.5</v>
          </cell>
        </row>
        <row r="197">
          <cell r="C197" t="str">
            <v>6" X 4" dia</v>
          </cell>
          <cell r="D197">
            <v>370</v>
          </cell>
          <cell r="E197" t="str">
            <v>Nos.</v>
          </cell>
          <cell r="G197">
            <v>412.55</v>
          </cell>
          <cell r="H197">
            <v>412.55</v>
          </cell>
          <cell r="I197">
            <v>462.5</v>
          </cell>
          <cell r="J197">
            <v>388.5</v>
          </cell>
          <cell r="K197">
            <v>399.6</v>
          </cell>
          <cell r="L197">
            <v>388.5</v>
          </cell>
          <cell r="M197">
            <v>462.5</v>
          </cell>
          <cell r="N197">
            <v>578.125</v>
          </cell>
          <cell r="O197">
            <v>485.625</v>
          </cell>
        </row>
        <row r="198">
          <cell r="C198" t="str">
            <v>G.I. Coupling1/2" dia</v>
          </cell>
          <cell r="D198">
            <v>4</v>
          </cell>
          <cell r="E198" t="str">
            <v>Nos.</v>
          </cell>
          <cell r="G198">
            <v>4.46</v>
          </cell>
          <cell r="H198">
            <v>4.2370000000000001</v>
          </cell>
          <cell r="I198">
            <v>5</v>
          </cell>
          <cell r="J198">
            <v>4.2</v>
          </cell>
          <cell r="K198">
            <v>4.32</v>
          </cell>
          <cell r="L198">
            <v>4.2</v>
          </cell>
          <cell r="M198">
            <v>5</v>
          </cell>
          <cell r="N198">
            <v>6.25</v>
          </cell>
          <cell r="O198">
            <v>5.25</v>
          </cell>
        </row>
        <row r="199">
          <cell r="C199" t="str">
            <v>3/4" dia</v>
          </cell>
          <cell r="D199">
            <v>6</v>
          </cell>
          <cell r="E199" t="str">
            <v>Nos.</v>
          </cell>
          <cell r="G199">
            <v>6.6899999999999995</v>
          </cell>
          <cell r="H199">
            <v>6.1325000000000003</v>
          </cell>
          <cell r="I199">
            <v>7.5</v>
          </cell>
          <cell r="J199">
            <v>6.3000000000000007</v>
          </cell>
          <cell r="K199">
            <v>6.48</v>
          </cell>
          <cell r="L199">
            <v>6.3000000000000007</v>
          </cell>
          <cell r="M199">
            <v>7.5</v>
          </cell>
          <cell r="N199">
            <v>9.375</v>
          </cell>
          <cell r="O199">
            <v>7.8750000000000009</v>
          </cell>
        </row>
        <row r="200">
          <cell r="C200" t="str">
            <v>1" dia</v>
          </cell>
          <cell r="D200">
            <v>8</v>
          </cell>
          <cell r="E200" t="str">
            <v>Nos.</v>
          </cell>
          <cell r="G200">
            <v>8.92</v>
          </cell>
          <cell r="H200">
            <v>8.6969999999999992</v>
          </cell>
          <cell r="I200">
            <v>10</v>
          </cell>
          <cell r="J200">
            <v>8.4</v>
          </cell>
          <cell r="K200">
            <v>8.64</v>
          </cell>
          <cell r="L200">
            <v>8.4</v>
          </cell>
          <cell r="M200">
            <v>10</v>
          </cell>
          <cell r="N200">
            <v>12.5</v>
          </cell>
          <cell r="O200">
            <v>10.5</v>
          </cell>
        </row>
        <row r="201">
          <cell r="C201" t="str">
            <v>1-1/2" dia</v>
          </cell>
          <cell r="D201">
            <v>15</v>
          </cell>
          <cell r="E201" t="str">
            <v>Nos.</v>
          </cell>
          <cell r="G201">
            <v>16.725000000000001</v>
          </cell>
          <cell r="H201">
            <v>16.501999999999999</v>
          </cell>
          <cell r="I201">
            <v>18.75</v>
          </cell>
          <cell r="J201">
            <v>15.75</v>
          </cell>
          <cell r="K201">
            <v>16.200000000000003</v>
          </cell>
          <cell r="L201">
            <v>15.75</v>
          </cell>
          <cell r="M201">
            <v>18.75</v>
          </cell>
          <cell r="N201">
            <v>23.4375</v>
          </cell>
          <cell r="O201">
            <v>19.6875</v>
          </cell>
        </row>
        <row r="202">
          <cell r="C202" t="str">
            <v>2" dia</v>
          </cell>
          <cell r="D202">
            <v>24</v>
          </cell>
          <cell r="E202" t="str">
            <v>Nos.</v>
          </cell>
          <cell r="G202">
            <v>26.759999999999998</v>
          </cell>
          <cell r="H202">
            <v>26.76</v>
          </cell>
          <cell r="I202">
            <v>30</v>
          </cell>
          <cell r="J202">
            <v>25.200000000000003</v>
          </cell>
          <cell r="K202">
            <v>25.92</v>
          </cell>
          <cell r="L202">
            <v>25.200000000000003</v>
          </cell>
          <cell r="M202">
            <v>30</v>
          </cell>
          <cell r="N202">
            <v>37.5</v>
          </cell>
          <cell r="O202">
            <v>31.500000000000004</v>
          </cell>
        </row>
        <row r="203">
          <cell r="C203" t="str">
            <v>3" dia</v>
          </cell>
          <cell r="D203">
            <v>7</v>
          </cell>
          <cell r="E203" t="str">
            <v>Nos.</v>
          </cell>
          <cell r="G203">
            <v>7.8049999999999997</v>
          </cell>
          <cell r="H203">
            <v>7.5819999999999999</v>
          </cell>
          <cell r="I203">
            <v>8.75</v>
          </cell>
          <cell r="J203">
            <v>7.3500000000000005</v>
          </cell>
          <cell r="K203">
            <v>7.5600000000000005</v>
          </cell>
          <cell r="L203">
            <v>7.3500000000000005</v>
          </cell>
          <cell r="M203">
            <v>8.75</v>
          </cell>
          <cell r="N203">
            <v>10.9375</v>
          </cell>
          <cell r="O203">
            <v>9.1875</v>
          </cell>
        </row>
        <row r="204">
          <cell r="C204" t="str">
            <v>4" dia</v>
          </cell>
          <cell r="D204">
            <v>89</v>
          </cell>
          <cell r="E204" t="str">
            <v>Nos.</v>
          </cell>
          <cell r="G204">
            <v>99.234999999999999</v>
          </cell>
          <cell r="H204">
            <v>99.368800000000007</v>
          </cell>
          <cell r="I204">
            <v>111.25</v>
          </cell>
          <cell r="J204">
            <v>93.45</v>
          </cell>
          <cell r="K204">
            <v>96.12</v>
          </cell>
          <cell r="L204">
            <v>93.45</v>
          </cell>
          <cell r="M204">
            <v>111.25</v>
          </cell>
          <cell r="N204">
            <v>139.0625</v>
          </cell>
          <cell r="O204">
            <v>116.8125</v>
          </cell>
        </row>
        <row r="205">
          <cell r="C205" t="str">
            <v>6" dia</v>
          </cell>
          <cell r="D205">
            <v>304</v>
          </cell>
          <cell r="G205">
            <v>338.96</v>
          </cell>
          <cell r="H205">
            <v>338.51400000000001</v>
          </cell>
          <cell r="I205">
            <v>380</v>
          </cell>
          <cell r="J205">
            <v>319.2</v>
          </cell>
          <cell r="K205">
            <v>328.32000000000005</v>
          </cell>
          <cell r="L205">
            <v>319.2</v>
          </cell>
          <cell r="M205">
            <v>380</v>
          </cell>
          <cell r="N205">
            <v>475</v>
          </cell>
          <cell r="O205">
            <v>399</v>
          </cell>
        </row>
        <row r="206">
          <cell r="C206" t="str">
            <v>G.I.Union socket 1/2" dia</v>
          </cell>
          <cell r="D206">
            <v>12</v>
          </cell>
          <cell r="E206" t="str">
            <v>Nos.</v>
          </cell>
          <cell r="G206">
            <v>13.379999999999999</v>
          </cell>
          <cell r="H206">
            <v>13.157</v>
          </cell>
          <cell r="I206">
            <v>15</v>
          </cell>
          <cell r="J206">
            <v>12.600000000000001</v>
          </cell>
          <cell r="K206">
            <v>12.96</v>
          </cell>
          <cell r="L206">
            <v>12.600000000000001</v>
          </cell>
          <cell r="M206">
            <v>15</v>
          </cell>
          <cell r="N206">
            <v>18.75</v>
          </cell>
          <cell r="O206">
            <v>15.750000000000002</v>
          </cell>
        </row>
        <row r="207">
          <cell r="C207" t="str">
            <v>3/4" dia</v>
          </cell>
          <cell r="D207">
            <v>17</v>
          </cell>
          <cell r="E207" t="str">
            <v>Nos.</v>
          </cell>
          <cell r="G207">
            <v>18.954999999999998</v>
          </cell>
          <cell r="H207">
            <v>18.954999999999998</v>
          </cell>
          <cell r="I207">
            <v>21.25</v>
          </cell>
          <cell r="J207">
            <v>17.850000000000001</v>
          </cell>
          <cell r="K207">
            <v>18.36</v>
          </cell>
          <cell r="L207">
            <v>17.850000000000001</v>
          </cell>
          <cell r="M207">
            <v>21.25</v>
          </cell>
          <cell r="N207">
            <v>26.5625</v>
          </cell>
          <cell r="O207">
            <v>22.3125</v>
          </cell>
        </row>
        <row r="208">
          <cell r="C208" t="str">
            <v>1" dia</v>
          </cell>
          <cell r="D208">
            <v>24</v>
          </cell>
          <cell r="E208" t="str">
            <v>Nos.</v>
          </cell>
          <cell r="G208">
            <v>26.759999999999998</v>
          </cell>
          <cell r="H208">
            <v>26.536999999999999</v>
          </cell>
          <cell r="I208">
            <v>30</v>
          </cell>
          <cell r="J208">
            <v>25.200000000000003</v>
          </cell>
          <cell r="K208">
            <v>25.92</v>
          </cell>
          <cell r="L208">
            <v>25.200000000000003</v>
          </cell>
          <cell r="M208">
            <v>30</v>
          </cell>
          <cell r="N208">
            <v>37.5</v>
          </cell>
          <cell r="O208">
            <v>31.500000000000004</v>
          </cell>
        </row>
        <row r="209">
          <cell r="C209" t="str">
            <v>1-1/2" dia</v>
          </cell>
          <cell r="D209">
            <v>41</v>
          </cell>
          <cell r="E209" t="str">
            <v>Nos.</v>
          </cell>
          <cell r="G209">
            <v>45.714999999999996</v>
          </cell>
          <cell r="H209">
            <v>45.938000000000002</v>
          </cell>
          <cell r="I209">
            <v>51.25</v>
          </cell>
          <cell r="J209">
            <v>43.050000000000004</v>
          </cell>
          <cell r="K209">
            <v>44.28</v>
          </cell>
          <cell r="L209">
            <v>43.050000000000004</v>
          </cell>
          <cell r="M209">
            <v>51.25</v>
          </cell>
          <cell r="N209">
            <v>64.0625</v>
          </cell>
          <cell r="O209">
            <v>53.812500000000007</v>
          </cell>
        </row>
        <row r="210">
          <cell r="C210" t="str">
            <v>2" dia</v>
          </cell>
          <cell r="D210">
            <v>72</v>
          </cell>
          <cell r="E210" t="str">
            <v>Nos.</v>
          </cell>
          <cell r="G210">
            <v>80.28</v>
          </cell>
          <cell r="H210">
            <v>80.391499999999994</v>
          </cell>
          <cell r="I210">
            <v>90</v>
          </cell>
          <cell r="J210">
            <v>75.600000000000009</v>
          </cell>
          <cell r="K210">
            <v>77.760000000000005</v>
          </cell>
          <cell r="L210">
            <v>75.600000000000009</v>
          </cell>
          <cell r="M210">
            <v>90</v>
          </cell>
          <cell r="N210">
            <v>112.5</v>
          </cell>
          <cell r="O210">
            <v>94.500000000000014</v>
          </cell>
        </row>
        <row r="211">
          <cell r="C211" t="str">
            <v>3" dia</v>
          </cell>
          <cell r="D211">
            <v>169</v>
          </cell>
          <cell r="E211" t="str">
            <v>Nos.</v>
          </cell>
          <cell r="G211">
            <v>188.435</v>
          </cell>
          <cell r="H211">
            <v>188.76950000000002</v>
          </cell>
          <cell r="I211">
            <v>211.25</v>
          </cell>
          <cell r="J211">
            <v>177.45000000000002</v>
          </cell>
          <cell r="K211">
            <v>182.52</v>
          </cell>
          <cell r="L211">
            <v>177.45000000000002</v>
          </cell>
          <cell r="M211">
            <v>211.25</v>
          </cell>
          <cell r="N211">
            <v>264.0625</v>
          </cell>
          <cell r="O211">
            <v>221.81250000000003</v>
          </cell>
        </row>
        <row r="212">
          <cell r="C212" t="str">
            <v>4" dia</v>
          </cell>
          <cell r="D212">
            <v>249</v>
          </cell>
          <cell r="E212" t="str">
            <v>Nos.</v>
          </cell>
          <cell r="G212">
            <v>277.63499999999999</v>
          </cell>
          <cell r="H212">
            <v>277.18899999999996</v>
          </cell>
          <cell r="I212">
            <v>311.25</v>
          </cell>
          <cell r="J212">
            <v>261.45</v>
          </cell>
          <cell r="K212">
            <v>268.92</v>
          </cell>
          <cell r="L212">
            <v>261.45</v>
          </cell>
          <cell r="M212">
            <v>311.25</v>
          </cell>
          <cell r="N212">
            <v>389.0625</v>
          </cell>
          <cell r="O212">
            <v>326.8125</v>
          </cell>
        </row>
        <row r="213">
          <cell r="C213" t="str">
            <v>6" dia</v>
          </cell>
          <cell r="D213">
            <v>680</v>
          </cell>
          <cell r="E213" t="str">
            <v>Nos.</v>
          </cell>
          <cell r="G213">
            <v>758.2</v>
          </cell>
          <cell r="H213">
            <v>758.2</v>
          </cell>
          <cell r="I213">
            <v>850</v>
          </cell>
          <cell r="J213">
            <v>714</v>
          </cell>
          <cell r="K213">
            <v>734.40000000000009</v>
          </cell>
          <cell r="L213">
            <v>714</v>
          </cell>
          <cell r="M213">
            <v>850</v>
          </cell>
          <cell r="N213">
            <v>1062.5</v>
          </cell>
          <cell r="O213">
            <v>892.5</v>
          </cell>
        </row>
        <row r="214">
          <cell r="C214" t="str">
            <v>G.I.Plug 1/2" dia</v>
          </cell>
          <cell r="D214">
            <v>4</v>
          </cell>
          <cell r="E214" t="str">
            <v>Nos.</v>
          </cell>
          <cell r="G214">
            <v>4.46</v>
          </cell>
          <cell r="H214">
            <v>3.9024999999999999</v>
          </cell>
          <cell r="I214">
            <v>5</v>
          </cell>
          <cell r="J214">
            <v>4.2</v>
          </cell>
          <cell r="K214">
            <v>4.32</v>
          </cell>
          <cell r="L214">
            <v>4.2</v>
          </cell>
          <cell r="M214">
            <v>5</v>
          </cell>
          <cell r="N214">
            <v>6.25</v>
          </cell>
          <cell r="O214">
            <v>5.25</v>
          </cell>
        </row>
        <row r="215">
          <cell r="C215" t="str">
            <v>3/4" dia</v>
          </cell>
          <cell r="D215">
            <v>6</v>
          </cell>
          <cell r="E215" t="str">
            <v>Nos.</v>
          </cell>
          <cell r="G215">
            <v>6.6899999999999995</v>
          </cell>
          <cell r="H215">
            <v>6.4112499999999999</v>
          </cell>
          <cell r="I215">
            <v>7.5</v>
          </cell>
          <cell r="J215">
            <v>6.3000000000000007</v>
          </cell>
          <cell r="K215">
            <v>6.48</v>
          </cell>
          <cell r="L215">
            <v>6.3000000000000007</v>
          </cell>
          <cell r="M215">
            <v>7.5</v>
          </cell>
          <cell r="N215">
            <v>9.375</v>
          </cell>
          <cell r="O215">
            <v>7.8750000000000009</v>
          </cell>
        </row>
        <row r="216">
          <cell r="C216" t="str">
            <v>1" dia</v>
          </cell>
          <cell r="D216">
            <v>8</v>
          </cell>
          <cell r="E216" t="str">
            <v>Nos.</v>
          </cell>
          <cell r="G216">
            <v>8.92</v>
          </cell>
          <cell r="H216">
            <v>8.3625000000000007</v>
          </cell>
          <cell r="I216">
            <v>10</v>
          </cell>
          <cell r="J216">
            <v>8.4</v>
          </cell>
          <cell r="K216">
            <v>8.64</v>
          </cell>
          <cell r="L216">
            <v>8.4</v>
          </cell>
          <cell r="M216">
            <v>10</v>
          </cell>
          <cell r="N216">
            <v>12.5</v>
          </cell>
          <cell r="O216">
            <v>10.5</v>
          </cell>
        </row>
        <row r="217">
          <cell r="C217" t="str">
            <v>1-1/2" dia</v>
          </cell>
          <cell r="D217">
            <v>17</v>
          </cell>
          <cell r="E217" t="str">
            <v>Nos.</v>
          </cell>
          <cell r="G217">
            <v>18.954999999999998</v>
          </cell>
          <cell r="H217">
            <v>18.6205</v>
          </cell>
          <cell r="I217">
            <v>21.25</v>
          </cell>
          <cell r="J217">
            <v>17.850000000000001</v>
          </cell>
          <cell r="K217">
            <v>18.36</v>
          </cell>
          <cell r="L217">
            <v>17.850000000000001</v>
          </cell>
          <cell r="M217">
            <v>21.25</v>
          </cell>
          <cell r="N217">
            <v>26.5625</v>
          </cell>
          <cell r="O217">
            <v>22.3125</v>
          </cell>
        </row>
        <row r="218">
          <cell r="C218" t="str">
            <v>2" dia</v>
          </cell>
          <cell r="D218">
            <v>18</v>
          </cell>
          <cell r="E218" t="str">
            <v>Nos.</v>
          </cell>
          <cell r="G218">
            <v>20.07</v>
          </cell>
          <cell r="H218">
            <v>20.07</v>
          </cell>
          <cell r="I218">
            <v>22.5</v>
          </cell>
          <cell r="J218">
            <v>18.900000000000002</v>
          </cell>
          <cell r="K218">
            <v>19.440000000000001</v>
          </cell>
          <cell r="L218">
            <v>18.900000000000002</v>
          </cell>
          <cell r="M218">
            <v>22.5</v>
          </cell>
          <cell r="N218">
            <v>28.125</v>
          </cell>
          <cell r="O218">
            <v>23.625000000000004</v>
          </cell>
        </row>
        <row r="219">
          <cell r="C219" t="str">
            <v>3" dia</v>
          </cell>
          <cell r="D219">
            <v>36</v>
          </cell>
          <cell r="E219" t="str">
            <v>Nos.</v>
          </cell>
          <cell r="G219">
            <v>40.14</v>
          </cell>
          <cell r="H219">
            <v>40.14</v>
          </cell>
          <cell r="I219">
            <v>45</v>
          </cell>
          <cell r="J219">
            <v>37.800000000000004</v>
          </cell>
          <cell r="K219">
            <v>38.880000000000003</v>
          </cell>
          <cell r="L219">
            <v>37.800000000000004</v>
          </cell>
          <cell r="M219">
            <v>45</v>
          </cell>
          <cell r="N219">
            <v>56.25</v>
          </cell>
          <cell r="O219">
            <v>47.250000000000007</v>
          </cell>
        </row>
        <row r="220">
          <cell r="C220" t="str">
            <v>4" dia</v>
          </cell>
          <cell r="D220">
            <v>44</v>
          </cell>
          <cell r="E220" t="str">
            <v>Nos.</v>
          </cell>
          <cell r="G220">
            <v>49.06</v>
          </cell>
          <cell r="H220">
            <v>49.06</v>
          </cell>
          <cell r="I220">
            <v>55</v>
          </cell>
          <cell r="J220">
            <v>46.2</v>
          </cell>
          <cell r="K220">
            <v>47.52</v>
          </cell>
          <cell r="L220">
            <v>46.2</v>
          </cell>
          <cell r="M220">
            <v>55</v>
          </cell>
          <cell r="N220">
            <v>68.75</v>
          </cell>
          <cell r="O220">
            <v>57.75</v>
          </cell>
        </row>
        <row r="221">
          <cell r="C221" t="str">
            <v>6" dia</v>
          </cell>
          <cell r="D221">
            <v>140</v>
          </cell>
          <cell r="E221" t="str">
            <v>Nos.</v>
          </cell>
          <cell r="G221">
            <v>156.1</v>
          </cell>
          <cell r="H221">
            <v>156.1</v>
          </cell>
          <cell r="I221">
            <v>175</v>
          </cell>
          <cell r="J221">
            <v>147</v>
          </cell>
          <cell r="K221">
            <v>151.20000000000002</v>
          </cell>
          <cell r="L221">
            <v>147</v>
          </cell>
          <cell r="M221">
            <v>175</v>
          </cell>
          <cell r="N221">
            <v>218.75</v>
          </cell>
          <cell r="O221">
            <v>183.75</v>
          </cell>
        </row>
        <row r="222">
          <cell r="C222" t="str">
            <v>Gun metal Wheel Valves 1/2" dia</v>
          </cell>
          <cell r="D222">
            <v>70</v>
          </cell>
          <cell r="E222" t="str">
            <v>Nos.</v>
          </cell>
          <cell r="G222">
            <v>78.05</v>
          </cell>
          <cell r="H222">
            <v>78.05</v>
          </cell>
          <cell r="I222">
            <v>87.5</v>
          </cell>
          <cell r="J222">
            <v>73.5</v>
          </cell>
          <cell r="K222">
            <v>75.600000000000009</v>
          </cell>
          <cell r="L222">
            <v>73.5</v>
          </cell>
          <cell r="M222">
            <v>87.5</v>
          </cell>
          <cell r="N222">
            <v>109.375</v>
          </cell>
          <cell r="O222">
            <v>91.875</v>
          </cell>
        </row>
        <row r="223">
          <cell r="C223" t="str">
            <v>3/4" dia</v>
          </cell>
          <cell r="D223">
            <v>130</v>
          </cell>
          <cell r="E223" t="str">
            <v>Nos.</v>
          </cell>
          <cell r="G223">
            <v>144.94999999999999</v>
          </cell>
          <cell r="H223">
            <v>144.94999999999999</v>
          </cell>
          <cell r="I223">
            <v>162.5</v>
          </cell>
          <cell r="J223">
            <v>136.5</v>
          </cell>
          <cell r="K223">
            <v>140.4</v>
          </cell>
          <cell r="L223">
            <v>136.5</v>
          </cell>
          <cell r="M223">
            <v>162.5</v>
          </cell>
          <cell r="N223">
            <v>203.125</v>
          </cell>
          <cell r="O223">
            <v>170.625</v>
          </cell>
        </row>
        <row r="224">
          <cell r="C224" t="str">
            <v>1" dia</v>
          </cell>
          <cell r="D224">
            <v>140</v>
          </cell>
          <cell r="E224" t="str">
            <v>Nos.</v>
          </cell>
          <cell r="G224">
            <v>156.1</v>
          </cell>
          <cell r="H224">
            <v>156.1</v>
          </cell>
          <cell r="I224">
            <v>175</v>
          </cell>
          <cell r="J224">
            <v>147</v>
          </cell>
          <cell r="K224">
            <v>151.20000000000002</v>
          </cell>
          <cell r="L224">
            <v>147</v>
          </cell>
          <cell r="M224">
            <v>175</v>
          </cell>
          <cell r="N224">
            <v>218.75</v>
          </cell>
          <cell r="O224">
            <v>183.75</v>
          </cell>
        </row>
        <row r="225">
          <cell r="C225" t="str">
            <v>1-1/2" dia</v>
          </cell>
          <cell r="D225">
            <v>340</v>
          </cell>
          <cell r="E225" t="str">
            <v>Nos.</v>
          </cell>
          <cell r="G225">
            <v>379.1</v>
          </cell>
          <cell r="H225">
            <v>379.1</v>
          </cell>
          <cell r="I225">
            <v>425</v>
          </cell>
          <cell r="J225">
            <v>357</v>
          </cell>
          <cell r="K225">
            <v>367.20000000000005</v>
          </cell>
          <cell r="L225">
            <v>357</v>
          </cell>
          <cell r="M225">
            <v>425</v>
          </cell>
          <cell r="N225">
            <v>531.25</v>
          </cell>
          <cell r="O225">
            <v>446.25</v>
          </cell>
        </row>
        <row r="226">
          <cell r="C226" t="str">
            <v>2" dia</v>
          </cell>
          <cell r="D226">
            <v>525</v>
          </cell>
          <cell r="E226" t="str">
            <v>Nos.</v>
          </cell>
          <cell r="G226">
            <v>585.375</v>
          </cell>
          <cell r="H226">
            <v>585.375</v>
          </cell>
          <cell r="I226">
            <v>656.25</v>
          </cell>
          <cell r="J226">
            <v>551.25</v>
          </cell>
          <cell r="K226">
            <v>567</v>
          </cell>
          <cell r="L226">
            <v>551.25</v>
          </cell>
          <cell r="M226">
            <v>656.25</v>
          </cell>
          <cell r="N226">
            <v>820.3125</v>
          </cell>
          <cell r="O226">
            <v>689.0625</v>
          </cell>
        </row>
        <row r="227">
          <cell r="C227" t="str">
            <v>3" dia</v>
          </cell>
          <cell r="D227">
            <v>696</v>
          </cell>
          <cell r="E227" t="str">
            <v>Nos.</v>
          </cell>
          <cell r="G227">
            <v>776.04</v>
          </cell>
          <cell r="H227">
            <v>776.04</v>
          </cell>
          <cell r="I227">
            <v>870</v>
          </cell>
          <cell r="J227">
            <v>730.80000000000007</v>
          </cell>
          <cell r="K227">
            <v>751.68000000000006</v>
          </cell>
          <cell r="L227">
            <v>730.80000000000007</v>
          </cell>
          <cell r="M227">
            <v>870</v>
          </cell>
          <cell r="N227">
            <v>1087.5</v>
          </cell>
          <cell r="O227">
            <v>913.50000000000011</v>
          </cell>
        </row>
        <row r="228">
          <cell r="C228" t="str">
            <v>4" dia</v>
          </cell>
          <cell r="D228">
            <v>1340</v>
          </cell>
          <cell r="E228" t="str">
            <v>Nos.</v>
          </cell>
          <cell r="G228">
            <v>1494.1</v>
          </cell>
          <cell r="H228">
            <v>1494.1</v>
          </cell>
          <cell r="I228">
            <v>1675</v>
          </cell>
          <cell r="J228">
            <v>1407</v>
          </cell>
          <cell r="K228">
            <v>1447.2</v>
          </cell>
          <cell r="L228">
            <v>1407</v>
          </cell>
          <cell r="M228">
            <v>1675</v>
          </cell>
          <cell r="N228">
            <v>2093.75</v>
          </cell>
          <cell r="O228">
            <v>1758.75</v>
          </cell>
        </row>
        <row r="229">
          <cell r="C229" t="str">
            <v>Gun metal Gate Valves 1/2" dia</v>
          </cell>
          <cell r="D229">
            <v>93</v>
          </cell>
          <cell r="E229" t="str">
            <v>Nos.</v>
          </cell>
          <cell r="G229">
            <v>103.69499999999999</v>
          </cell>
          <cell r="H229">
            <v>103.52775</v>
          </cell>
          <cell r="I229">
            <v>116.25</v>
          </cell>
          <cell r="J229">
            <v>97.65</v>
          </cell>
          <cell r="K229">
            <v>100.44000000000001</v>
          </cell>
          <cell r="L229">
            <v>97.65</v>
          </cell>
          <cell r="M229">
            <v>116.25</v>
          </cell>
          <cell r="N229">
            <v>145.3125</v>
          </cell>
          <cell r="O229">
            <v>122.0625</v>
          </cell>
        </row>
        <row r="230">
          <cell r="C230" t="str">
            <v>3/4" dia</v>
          </cell>
          <cell r="D230">
            <v>130</v>
          </cell>
          <cell r="E230" t="str">
            <v>Nos.</v>
          </cell>
          <cell r="G230">
            <v>144.94999999999999</v>
          </cell>
          <cell r="H230">
            <v>145.30679999999998</v>
          </cell>
          <cell r="I230">
            <v>162.5</v>
          </cell>
          <cell r="J230">
            <v>136.5</v>
          </cell>
          <cell r="K230">
            <v>140.4</v>
          </cell>
          <cell r="L230">
            <v>136.5</v>
          </cell>
          <cell r="M230">
            <v>162.5</v>
          </cell>
          <cell r="N230">
            <v>203.125</v>
          </cell>
          <cell r="O230">
            <v>170.625</v>
          </cell>
        </row>
        <row r="231">
          <cell r="C231" t="str">
            <v>1" dia</v>
          </cell>
          <cell r="D231">
            <v>175</v>
          </cell>
          <cell r="E231" t="str">
            <v>Nos.</v>
          </cell>
          <cell r="G231">
            <v>195.125</v>
          </cell>
          <cell r="H231">
            <v>195.125</v>
          </cell>
          <cell r="I231">
            <v>218.75</v>
          </cell>
          <cell r="J231">
            <v>183.75</v>
          </cell>
          <cell r="K231">
            <v>189</v>
          </cell>
          <cell r="L231">
            <v>183.75</v>
          </cell>
          <cell r="M231">
            <v>218.75</v>
          </cell>
          <cell r="N231">
            <v>273.4375</v>
          </cell>
          <cell r="O231">
            <v>229.6875</v>
          </cell>
        </row>
        <row r="232">
          <cell r="C232" t="str">
            <v>1-1/2" dia</v>
          </cell>
          <cell r="D232">
            <v>350</v>
          </cell>
          <cell r="E232" t="str">
            <v>Nos.</v>
          </cell>
          <cell r="G232">
            <v>390.25</v>
          </cell>
          <cell r="H232">
            <v>390.25</v>
          </cell>
          <cell r="I232">
            <v>437.5</v>
          </cell>
          <cell r="J232">
            <v>367.5</v>
          </cell>
          <cell r="K232">
            <v>378</v>
          </cell>
          <cell r="L232">
            <v>367.5</v>
          </cell>
          <cell r="M232">
            <v>437.5</v>
          </cell>
          <cell r="N232">
            <v>546.875</v>
          </cell>
          <cell r="O232">
            <v>459.375</v>
          </cell>
        </row>
        <row r="233">
          <cell r="C233" t="str">
            <v>2" dia</v>
          </cell>
          <cell r="D233">
            <v>550</v>
          </cell>
          <cell r="E233" t="str">
            <v>Nos.</v>
          </cell>
          <cell r="G233">
            <v>613.25</v>
          </cell>
          <cell r="H233">
            <v>613.25</v>
          </cell>
          <cell r="I233">
            <v>687.5</v>
          </cell>
          <cell r="J233">
            <v>577.5</v>
          </cell>
          <cell r="K233">
            <v>594</v>
          </cell>
          <cell r="L233">
            <v>577.5</v>
          </cell>
          <cell r="M233">
            <v>687.5</v>
          </cell>
          <cell r="N233">
            <v>859.375</v>
          </cell>
          <cell r="O233">
            <v>721.875</v>
          </cell>
        </row>
        <row r="234">
          <cell r="C234" t="str">
            <v>3" dia</v>
          </cell>
          <cell r="D234">
            <v>1909</v>
          </cell>
          <cell r="E234" t="str">
            <v>Nos.</v>
          </cell>
          <cell r="G234">
            <v>2128.5349999999999</v>
          </cell>
          <cell r="H234">
            <v>2128.5349999999999</v>
          </cell>
          <cell r="I234">
            <v>2386.25</v>
          </cell>
          <cell r="J234">
            <v>2004.45</v>
          </cell>
          <cell r="K234">
            <v>2061.7200000000003</v>
          </cell>
          <cell r="L234">
            <v>2004.45</v>
          </cell>
          <cell r="M234">
            <v>2386.25</v>
          </cell>
          <cell r="N234">
            <v>2982.8125</v>
          </cell>
          <cell r="O234">
            <v>2505.5625</v>
          </cell>
        </row>
        <row r="235">
          <cell r="C235" t="str">
            <v>4" dia</v>
          </cell>
          <cell r="D235">
            <v>3200</v>
          </cell>
          <cell r="E235" t="str">
            <v>Nos.</v>
          </cell>
          <cell r="G235">
            <v>3568</v>
          </cell>
          <cell r="H235">
            <v>3568</v>
          </cell>
          <cell r="I235">
            <v>4000</v>
          </cell>
          <cell r="J235">
            <v>3360</v>
          </cell>
          <cell r="K235">
            <v>3456</v>
          </cell>
          <cell r="L235">
            <v>3360</v>
          </cell>
          <cell r="M235">
            <v>4000</v>
          </cell>
          <cell r="N235">
            <v>5000</v>
          </cell>
          <cell r="O235">
            <v>4200</v>
          </cell>
        </row>
        <row r="236">
          <cell r="C236" t="str">
            <v>C.I. Foot valve 1/2" dia</v>
          </cell>
          <cell r="D236">
            <v>95</v>
          </cell>
          <cell r="E236" t="str">
            <v>Nos.</v>
          </cell>
          <cell r="G236">
            <v>105.925</v>
          </cell>
          <cell r="H236">
            <v>105.925</v>
          </cell>
          <cell r="I236">
            <v>118.75</v>
          </cell>
          <cell r="J236">
            <v>99.75</v>
          </cell>
          <cell r="K236">
            <v>102.60000000000001</v>
          </cell>
          <cell r="L236">
            <v>99.75</v>
          </cell>
          <cell r="M236">
            <v>118.75</v>
          </cell>
          <cell r="N236">
            <v>148.4375</v>
          </cell>
          <cell r="O236">
            <v>124.6875</v>
          </cell>
        </row>
        <row r="237">
          <cell r="C237" t="str">
            <v>3/4" dia</v>
          </cell>
          <cell r="D237">
            <v>110</v>
          </cell>
          <cell r="E237" t="str">
            <v>Nos.</v>
          </cell>
          <cell r="G237">
            <v>122.65</v>
          </cell>
          <cell r="H237">
            <v>122.65</v>
          </cell>
          <cell r="I237">
            <v>137.5</v>
          </cell>
          <cell r="J237">
            <v>115.5</v>
          </cell>
          <cell r="K237">
            <v>118.80000000000001</v>
          </cell>
          <cell r="L237">
            <v>115.5</v>
          </cell>
          <cell r="M237">
            <v>137.5</v>
          </cell>
          <cell r="N237">
            <v>171.875</v>
          </cell>
          <cell r="O237">
            <v>144.375</v>
          </cell>
        </row>
        <row r="238">
          <cell r="C238" t="str">
            <v>1" dia</v>
          </cell>
          <cell r="D238">
            <v>135</v>
          </cell>
          <cell r="E238" t="str">
            <v>Nos.</v>
          </cell>
          <cell r="G238">
            <v>150.52500000000001</v>
          </cell>
          <cell r="H238">
            <v>150.52500000000001</v>
          </cell>
          <cell r="I238">
            <v>168.75</v>
          </cell>
          <cell r="J238">
            <v>141.75</v>
          </cell>
          <cell r="K238">
            <v>145.80000000000001</v>
          </cell>
          <cell r="L238">
            <v>141.75</v>
          </cell>
          <cell r="M238">
            <v>168.75</v>
          </cell>
          <cell r="N238">
            <v>210.9375</v>
          </cell>
          <cell r="O238">
            <v>177.1875</v>
          </cell>
        </row>
        <row r="239">
          <cell r="C239" t="str">
            <v>1-1/2" dia</v>
          </cell>
          <cell r="D239">
            <v>155</v>
          </cell>
          <cell r="E239" t="str">
            <v>Nos.</v>
          </cell>
          <cell r="G239">
            <v>172.82499999999999</v>
          </cell>
          <cell r="H239">
            <v>172.82499999999999</v>
          </cell>
          <cell r="I239">
            <v>193.75</v>
          </cell>
          <cell r="J239">
            <v>162.75</v>
          </cell>
          <cell r="K239">
            <v>167.4</v>
          </cell>
          <cell r="L239">
            <v>162.75</v>
          </cell>
          <cell r="M239">
            <v>193.75</v>
          </cell>
          <cell r="N239">
            <v>242.1875</v>
          </cell>
          <cell r="O239">
            <v>203.4375</v>
          </cell>
        </row>
        <row r="240">
          <cell r="C240" t="str">
            <v>2" dia</v>
          </cell>
          <cell r="D240">
            <v>220</v>
          </cell>
          <cell r="E240" t="str">
            <v>Nos.</v>
          </cell>
          <cell r="G240">
            <v>245.3</v>
          </cell>
          <cell r="H240">
            <v>245.3</v>
          </cell>
          <cell r="I240">
            <v>275</v>
          </cell>
          <cell r="J240">
            <v>231</v>
          </cell>
          <cell r="K240">
            <v>237.60000000000002</v>
          </cell>
          <cell r="L240">
            <v>231</v>
          </cell>
          <cell r="M240">
            <v>275</v>
          </cell>
          <cell r="N240">
            <v>343.75</v>
          </cell>
          <cell r="O240">
            <v>288.75</v>
          </cell>
        </row>
        <row r="241">
          <cell r="C241" t="str">
            <v>3" dia</v>
          </cell>
          <cell r="D241">
            <v>240</v>
          </cell>
          <cell r="E241" t="str">
            <v>Nos.</v>
          </cell>
          <cell r="G241">
            <v>267.60000000000002</v>
          </cell>
          <cell r="H241">
            <v>267.60000000000002</v>
          </cell>
          <cell r="I241">
            <v>300</v>
          </cell>
          <cell r="J241">
            <v>252</v>
          </cell>
          <cell r="K241">
            <v>259.20000000000005</v>
          </cell>
          <cell r="L241">
            <v>252</v>
          </cell>
          <cell r="M241">
            <v>300</v>
          </cell>
          <cell r="N241">
            <v>375</v>
          </cell>
          <cell r="O241">
            <v>315</v>
          </cell>
        </row>
        <row r="242">
          <cell r="C242" t="str">
            <v>4" dia</v>
          </cell>
          <cell r="D242">
            <v>430</v>
          </cell>
          <cell r="E242" t="str">
            <v>Nos.</v>
          </cell>
          <cell r="G242">
            <v>479.45</v>
          </cell>
          <cell r="H242">
            <v>479.45</v>
          </cell>
          <cell r="I242">
            <v>537.5</v>
          </cell>
          <cell r="J242">
            <v>451.5</v>
          </cell>
          <cell r="K242">
            <v>464.40000000000003</v>
          </cell>
          <cell r="L242">
            <v>451.5</v>
          </cell>
          <cell r="M242">
            <v>537.5</v>
          </cell>
          <cell r="N242">
            <v>671.875</v>
          </cell>
          <cell r="O242">
            <v>564.375</v>
          </cell>
        </row>
        <row r="243">
          <cell r="C243" t="str">
            <v>Water Meter</v>
          </cell>
          <cell r="D243">
            <v>430</v>
          </cell>
          <cell r="E243" t="str">
            <v>Nos.</v>
          </cell>
          <cell r="F243" t="str">
            <v>Dash mesh ISI 1/2"</v>
          </cell>
          <cell r="G243">
            <v>479.45</v>
          </cell>
          <cell r="H243">
            <v>479.45</v>
          </cell>
          <cell r="I243">
            <v>537.5</v>
          </cell>
          <cell r="J243">
            <v>451.5</v>
          </cell>
          <cell r="K243">
            <v>464.40000000000003</v>
          </cell>
          <cell r="L243">
            <v>451.5</v>
          </cell>
          <cell r="M243">
            <v>537.5</v>
          </cell>
          <cell r="N243">
            <v>671.875</v>
          </cell>
          <cell r="O243">
            <v>564.375</v>
          </cell>
        </row>
        <row r="244">
          <cell r="C244" t="str">
            <v>15 mm dia brass bib cock</v>
          </cell>
          <cell r="D244">
            <v>118</v>
          </cell>
          <cell r="E244" t="str">
            <v>Nos.</v>
          </cell>
          <cell r="G244">
            <v>131.57</v>
          </cell>
          <cell r="H244">
            <v>131.57</v>
          </cell>
          <cell r="I244">
            <v>147.5</v>
          </cell>
          <cell r="J244">
            <v>123.9</v>
          </cell>
          <cell r="K244">
            <v>127.44000000000001</v>
          </cell>
          <cell r="L244">
            <v>123.9</v>
          </cell>
          <cell r="M244">
            <v>147.5</v>
          </cell>
          <cell r="N244">
            <v>184.375</v>
          </cell>
          <cell r="O244">
            <v>154.875</v>
          </cell>
        </row>
        <row r="245">
          <cell r="C245" t="str">
            <v>20 mm dia brass bib cock</v>
          </cell>
          <cell r="D245">
            <v>194</v>
          </cell>
          <cell r="E245" t="str">
            <v>Nos.</v>
          </cell>
          <cell r="G245">
            <v>216.31</v>
          </cell>
          <cell r="H245">
            <v>216.31</v>
          </cell>
          <cell r="I245">
            <v>242.5</v>
          </cell>
          <cell r="J245">
            <v>203.70000000000002</v>
          </cell>
          <cell r="K245">
            <v>209.52</v>
          </cell>
          <cell r="L245">
            <v>203.70000000000002</v>
          </cell>
          <cell r="M245">
            <v>242.5</v>
          </cell>
          <cell r="N245">
            <v>303.125</v>
          </cell>
          <cell r="O245">
            <v>254.62500000000003</v>
          </cell>
        </row>
        <row r="246">
          <cell r="C246" t="str">
            <v>25 mm dia brass bib cock</v>
          </cell>
          <cell r="D246">
            <v>128</v>
          </cell>
          <cell r="E246" t="str">
            <v>Nos.</v>
          </cell>
          <cell r="G246">
            <v>142.72</v>
          </cell>
          <cell r="H246">
            <v>142.72</v>
          </cell>
          <cell r="I246">
            <v>160</v>
          </cell>
          <cell r="J246">
            <v>134.4</v>
          </cell>
          <cell r="K246">
            <v>138.24</v>
          </cell>
          <cell r="L246">
            <v>134.4</v>
          </cell>
          <cell r="M246">
            <v>160</v>
          </cell>
          <cell r="N246">
            <v>200</v>
          </cell>
          <cell r="O246">
            <v>168</v>
          </cell>
        </row>
        <row r="247">
          <cell r="C247" t="str">
            <v>15 mm dia brass stop cock</v>
          </cell>
          <cell r="D247">
            <v>118</v>
          </cell>
          <cell r="E247" t="str">
            <v>Nos.</v>
          </cell>
          <cell r="G247">
            <v>131.57</v>
          </cell>
          <cell r="H247">
            <v>131.57</v>
          </cell>
          <cell r="I247">
            <v>147.5</v>
          </cell>
          <cell r="J247">
            <v>123.9</v>
          </cell>
          <cell r="K247">
            <v>127.44000000000001</v>
          </cell>
          <cell r="L247">
            <v>123.9</v>
          </cell>
          <cell r="M247">
            <v>147.5</v>
          </cell>
          <cell r="N247">
            <v>184.375</v>
          </cell>
          <cell r="O247">
            <v>154.875</v>
          </cell>
        </row>
        <row r="248">
          <cell r="C248" t="str">
            <v>20 mm dia brass stop cock</v>
          </cell>
          <cell r="D248">
            <v>205</v>
          </cell>
          <cell r="E248" t="str">
            <v>Nos.</v>
          </cell>
          <cell r="G248">
            <v>228.57499999999999</v>
          </cell>
          <cell r="H248">
            <v>228.57499999999999</v>
          </cell>
          <cell r="I248">
            <v>256.25</v>
          </cell>
          <cell r="J248">
            <v>215.25</v>
          </cell>
          <cell r="K248">
            <v>221.4</v>
          </cell>
          <cell r="L248">
            <v>215.25</v>
          </cell>
          <cell r="M248">
            <v>256.25</v>
          </cell>
          <cell r="N248">
            <v>320.3125</v>
          </cell>
          <cell r="O248">
            <v>269.0625</v>
          </cell>
        </row>
        <row r="249">
          <cell r="C249" t="str">
            <v>25 mm dia brass stop cock</v>
          </cell>
          <cell r="D249">
            <v>280</v>
          </cell>
          <cell r="E249" t="str">
            <v>Nos.</v>
          </cell>
          <cell r="G249">
            <v>312.2</v>
          </cell>
          <cell r="H249">
            <v>312.2</v>
          </cell>
          <cell r="I249">
            <v>350</v>
          </cell>
          <cell r="J249">
            <v>294</v>
          </cell>
          <cell r="K249">
            <v>302.40000000000003</v>
          </cell>
          <cell r="L249">
            <v>294</v>
          </cell>
          <cell r="M249">
            <v>350</v>
          </cell>
          <cell r="N249">
            <v>437.5</v>
          </cell>
          <cell r="O249">
            <v>367.5</v>
          </cell>
        </row>
        <row r="250">
          <cell r="C250" t="str">
            <v>32 mm dia brass stop cock</v>
          </cell>
          <cell r="D250">
            <v>790</v>
          </cell>
          <cell r="E250" t="str">
            <v>Nos.</v>
          </cell>
          <cell r="G250">
            <v>880.85</v>
          </cell>
          <cell r="H250">
            <v>880.85</v>
          </cell>
          <cell r="I250">
            <v>987.5</v>
          </cell>
          <cell r="J250">
            <v>829.5</v>
          </cell>
          <cell r="K250">
            <v>853.2</v>
          </cell>
          <cell r="L250">
            <v>829.5</v>
          </cell>
          <cell r="M250">
            <v>987.5</v>
          </cell>
          <cell r="N250">
            <v>1234.375</v>
          </cell>
          <cell r="O250">
            <v>1036.875</v>
          </cell>
        </row>
        <row r="251">
          <cell r="C251" t="str">
            <v>40 mm dia brass stop cock</v>
          </cell>
          <cell r="D251">
            <v>830</v>
          </cell>
          <cell r="E251" t="str">
            <v>Nos.</v>
          </cell>
          <cell r="G251">
            <v>925.45</v>
          </cell>
          <cell r="H251">
            <v>925.45</v>
          </cell>
          <cell r="I251">
            <v>1037.5</v>
          </cell>
          <cell r="J251">
            <v>871.5</v>
          </cell>
          <cell r="K251">
            <v>896.40000000000009</v>
          </cell>
          <cell r="L251">
            <v>871.5</v>
          </cell>
          <cell r="M251">
            <v>1037.5</v>
          </cell>
          <cell r="N251">
            <v>1296.875</v>
          </cell>
          <cell r="O251">
            <v>1089.375</v>
          </cell>
        </row>
        <row r="252">
          <cell r="C252" t="str">
            <v>50 mm dia brass stop cock</v>
          </cell>
          <cell r="D252">
            <v>1050</v>
          </cell>
          <cell r="E252" t="str">
            <v>Nos.</v>
          </cell>
          <cell r="G252">
            <v>1170.75</v>
          </cell>
          <cell r="H252">
            <v>1170.75</v>
          </cell>
          <cell r="I252">
            <v>1312.5</v>
          </cell>
          <cell r="J252">
            <v>1102.5</v>
          </cell>
          <cell r="K252">
            <v>1134</v>
          </cell>
          <cell r="L252">
            <v>1102.5</v>
          </cell>
          <cell r="M252">
            <v>1312.5</v>
          </cell>
          <cell r="N252">
            <v>1640.625</v>
          </cell>
          <cell r="O252">
            <v>1378.125</v>
          </cell>
        </row>
        <row r="253">
          <cell r="C253" t="str">
            <v xml:space="preserve">15 mm dia brass gate valve with wheel </v>
          </cell>
          <cell r="D253">
            <v>165</v>
          </cell>
          <cell r="E253" t="str">
            <v>Nos.</v>
          </cell>
          <cell r="G253">
            <v>183.97499999999999</v>
          </cell>
          <cell r="H253">
            <v>183.97499999999999</v>
          </cell>
          <cell r="I253">
            <v>206.25</v>
          </cell>
          <cell r="J253">
            <v>173.25</v>
          </cell>
          <cell r="K253">
            <v>178.20000000000002</v>
          </cell>
          <cell r="L253">
            <v>173.25</v>
          </cell>
          <cell r="M253">
            <v>206.25</v>
          </cell>
          <cell r="N253">
            <v>257.8125</v>
          </cell>
          <cell r="O253">
            <v>216.5625</v>
          </cell>
        </row>
        <row r="254">
          <cell r="C254" t="str">
            <v xml:space="preserve">20 mm dia brass gate valve with wheel </v>
          </cell>
          <cell r="D254">
            <v>215</v>
          </cell>
          <cell r="E254" t="str">
            <v>Nos.</v>
          </cell>
          <cell r="G254">
            <v>239.72499999999999</v>
          </cell>
          <cell r="H254">
            <v>239.72499999999999</v>
          </cell>
          <cell r="I254">
            <v>268.75</v>
          </cell>
          <cell r="J254">
            <v>225.75</v>
          </cell>
          <cell r="K254">
            <v>232.20000000000002</v>
          </cell>
          <cell r="L254">
            <v>225.75</v>
          </cell>
          <cell r="M254">
            <v>268.75</v>
          </cell>
          <cell r="N254">
            <v>335.9375</v>
          </cell>
          <cell r="O254">
            <v>282.1875</v>
          </cell>
        </row>
        <row r="255">
          <cell r="C255" t="str">
            <v xml:space="preserve">25 mm dia brass gate valve with wheel </v>
          </cell>
          <cell r="D255">
            <v>335</v>
          </cell>
          <cell r="E255" t="str">
            <v>Nos.</v>
          </cell>
          <cell r="G255">
            <v>373.52499999999998</v>
          </cell>
          <cell r="H255">
            <v>373.52499999999998</v>
          </cell>
          <cell r="I255">
            <v>418.75</v>
          </cell>
          <cell r="J255">
            <v>351.75</v>
          </cell>
          <cell r="K255">
            <v>361.8</v>
          </cell>
          <cell r="L255">
            <v>351.75</v>
          </cell>
          <cell r="M255">
            <v>418.75</v>
          </cell>
          <cell r="N255">
            <v>523.4375</v>
          </cell>
          <cell r="O255">
            <v>439.6875</v>
          </cell>
        </row>
        <row r="256">
          <cell r="C256" t="str">
            <v xml:space="preserve">32 mm dia brass gate valve with wheel </v>
          </cell>
          <cell r="D256">
            <v>580</v>
          </cell>
          <cell r="E256" t="str">
            <v>Nos.</v>
          </cell>
          <cell r="G256">
            <v>646.70000000000005</v>
          </cell>
          <cell r="H256">
            <v>646.70000000000005</v>
          </cell>
          <cell r="I256">
            <v>725</v>
          </cell>
          <cell r="J256">
            <v>609</v>
          </cell>
          <cell r="K256">
            <v>626.40000000000009</v>
          </cell>
          <cell r="L256">
            <v>609</v>
          </cell>
          <cell r="M256">
            <v>725</v>
          </cell>
          <cell r="N256">
            <v>906.25</v>
          </cell>
          <cell r="O256">
            <v>761.25</v>
          </cell>
        </row>
        <row r="257">
          <cell r="C257" t="str">
            <v xml:space="preserve">40 mm dia brass gate valve with wheel </v>
          </cell>
          <cell r="D257">
            <v>605</v>
          </cell>
          <cell r="E257" t="str">
            <v>Nos.</v>
          </cell>
          <cell r="G257">
            <v>674.57500000000005</v>
          </cell>
          <cell r="H257">
            <v>674.57500000000005</v>
          </cell>
          <cell r="I257">
            <v>756.25</v>
          </cell>
          <cell r="J257">
            <v>635.25</v>
          </cell>
          <cell r="K257">
            <v>653.40000000000009</v>
          </cell>
          <cell r="L257">
            <v>635.25</v>
          </cell>
          <cell r="M257">
            <v>756.25</v>
          </cell>
          <cell r="N257">
            <v>945.3125</v>
          </cell>
          <cell r="O257">
            <v>794.0625</v>
          </cell>
        </row>
        <row r="258">
          <cell r="C258" t="str">
            <v xml:space="preserve">50 mm dia brass gate valve with wheel </v>
          </cell>
          <cell r="D258">
            <v>825</v>
          </cell>
          <cell r="E258" t="str">
            <v>Nos.</v>
          </cell>
          <cell r="G258">
            <v>919.875</v>
          </cell>
          <cell r="H258">
            <v>919.875</v>
          </cell>
          <cell r="I258">
            <v>1031.25</v>
          </cell>
          <cell r="J258">
            <v>866.25</v>
          </cell>
          <cell r="K258">
            <v>891.00000000000011</v>
          </cell>
          <cell r="L258">
            <v>866.25</v>
          </cell>
          <cell r="M258">
            <v>1031.25</v>
          </cell>
          <cell r="N258">
            <v>1289.0625</v>
          </cell>
          <cell r="O258">
            <v>1082.8125</v>
          </cell>
        </row>
        <row r="259">
          <cell r="C259" t="str">
            <v xml:space="preserve">65 mm dia brass gate valve with wheel </v>
          </cell>
          <cell r="D259">
            <v>930</v>
          </cell>
          <cell r="E259" t="str">
            <v>Nos.</v>
          </cell>
          <cell r="G259">
            <v>1036.95</v>
          </cell>
          <cell r="H259">
            <v>1036.95</v>
          </cell>
          <cell r="I259">
            <v>1162.5</v>
          </cell>
          <cell r="J259">
            <v>976.5</v>
          </cell>
          <cell r="K259">
            <v>1004.4000000000001</v>
          </cell>
          <cell r="L259">
            <v>976.5</v>
          </cell>
          <cell r="M259">
            <v>1162.5</v>
          </cell>
          <cell r="N259">
            <v>1453.125</v>
          </cell>
          <cell r="O259">
            <v>1220.625</v>
          </cell>
        </row>
        <row r="260">
          <cell r="C260" t="str">
            <v xml:space="preserve">80 mm dia brass gate valve with wheel </v>
          </cell>
          <cell r="D260">
            <v>2125</v>
          </cell>
          <cell r="E260" t="str">
            <v>Nos.</v>
          </cell>
          <cell r="G260">
            <v>2369.375</v>
          </cell>
          <cell r="H260">
            <v>2369.375</v>
          </cell>
          <cell r="I260">
            <v>2656.25</v>
          </cell>
          <cell r="J260">
            <v>2231.25</v>
          </cell>
          <cell r="K260">
            <v>2295</v>
          </cell>
          <cell r="L260">
            <v>2231.25</v>
          </cell>
          <cell r="M260">
            <v>2656.25</v>
          </cell>
          <cell r="N260">
            <v>3320.3125</v>
          </cell>
          <cell r="O260">
            <v>2789.0625</v>
          </cell>
        </row>
        <row r="261">
          <cell r="C261" t="str">
            <v>100 mm dia CP brass shower rose</v>
          </cell>
          <cell r="D261">
            <v>199</v>
          </cell>
          <cell r="E261" t="str">
            <v>Nos.</v>
          </cell>
          <cell r="G261">
            <v>221.88499999999999</v>
          </cell>
          <cell r="H261">
            <v>221.88499999999999</v>
          </cell>
          <cell r="I261">
            <v>248.75</v>
          </cell>
          <cell r="J261">
            <v>208.95000000000002</v>
          </cell>
          <cell r="K261">
            <v>214.92000000000002</v>
          </cell>
          <cell r="L261">
            <v>208.95000000000002</v>
          </cell>
          <cell r="M261">
            <v>248.75</v>
          </cell>
          <cell r="N261">
            <v>310.9375</v>
          </cell>
          <cell r="O261">
            <v>261.1875</v>
          </cell>
        </row>
        <row r="262">
          <cell r="C262" t="str">
            <v>150 mm dia CP brass shower rose</v>
          </cell>
          <cell r="E262" t="str">
            <v>Nos.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G.I.Nipple 80mm x 15mm</v>
          </cell>
          <cell r="D263">
            <v>4</v>
          </cell>
          <cell r="E263" t="str">
            <v>Nos.</v>
          </cell>
          <cell r="F263" t="str">
            <v>9/02-GRS260/80</v>
          </cell>
          <cell r="G263">
            <v>4.46</v>
          </cell>
          <cell r="H263">
            <v>4.85025</v>
          </cell>
          <cell r="I263">
            <v>5</v>
          </cell>
          <cell r="J263">
            <v>4.2</v>
          </cell>
          <cell r="K263">
            <v>4.32</v>
          </cell>
          <cell r="L263">
            <v>4.2</v>
          </cell>
          <cell r="M263">
            <v>5</v>
          </cell>
          <cell r="N263">
            <v>6.25</v>
          </cell>
          <cell r="O263">
            <v>5.25</v>
          </cell>
        </row>
        <row r="264">
          <cell r="C264" t="str">
            <v>100mm x 15mm</v>
          </cell>
          <cell r="D264">
            <v>10</v>
          </cell>
          <cell r="E264" t="str">
            <v>Nos.</v>
          </cell>
          <cell r="G264">
            <v>11.15</v>
          </cell>
          <cell r="H264">
            <v>10.592499999999999</v>
          </cell>
          <cell r="I264">
            <v>12.5</v>
          </cell>
          <cell r="J264">
            <v>10.5</v>
          </cell>
          <cell r="K264">
            <v>10.8</v>
          </cell>
          <cell r="L264">
            <v>10.5</v>
          </cell>
          <cell r="M264">
            <v>12.5</v>
          </cell>
          <cell r="N264">
            <v>15.625</v>
          </cell>
          <cell r="O264">
            <v>13.125</v>
          </cell>
        </row>
        <row r="265">
          <cell r="C265" t="str">
            <v>150mm x 15mm</v>
          </cell>
          <cell r="D265">
            <v>12</v>
          </cell>
          <cell r="E265" t="str">
            <v>Nos.</v>
          </cell>
          <cell r="G265">
            <v>13.379999999999999</v>
          </cell>
          <cell r="H265">
            <v>13.10125</v>
          </cell>
          <cell r="I265">
            <v>15</v>
          </cell>
          <cell r="J265">
            <v>12.600000000000001</v>
          </cell>
          <cell r="K265">
            <v>12.96</v>
          </cell>
          <cell r="L265">
            <v>12.600000000000001</v>
          </cell>
          <cell r="M265">
            <v>15</v>
          </cell>
          <cell r="N265">
            <v>18.75</v>
          </cell>
          <cell r="O265">
            <v>15.750000000000002</v>
          </cell>
        </row>
        <row r="266">
          <cell r="C266" t="str">
            <v>200mm x 15mm</v>
          </cell>
          <cell r="D266">
            <v>18</v>
          </cell>
          <cell r="E266" t="str">
            <v>Nos.</v>
          </cell>
          <cell r="G266">
            <v>20.07</v>
          </cell>
          <cell r="H266">
            <v>19.735499999999998</v>
          </cell>
          <cell r="I266">
            <v>22.5</v>
          </cell>
          <cell r="J266">
            <v>18.900000000000002</v>
          </cell>
          <cell r="K266">
            <v>19.440000000000001</v>
          </cell>
          <cell r="L266">
            <v>18.900000000000002</v>
          </cell>
          <cell r="M266">
            <v>22.5</v>
          </cell>
          <cell r="N266">
            <v>28.125</v>
          </cell>
          <cell r="O266">
            <v>23.625000000000004</v>
          </cell>
        </row>
        <row r="267">
          <cell r="C267" t="str">
            <v>80mm x 20mm</v>
          </cell>
          <cell r="D267">
            <v>7</v>
          </cell>
          <cell r="E267" t="str">
            <v>Nos.</v>
          </cell>
          <cell r="F267" t="str">
            <v>9/01-GRS252/81</v>
          </cell>
          <cell r="G267">
            <v>7.8049999999999997</v>
          </cell>
          <cell r="H267">
            <v>7.3032499999999994</v>
          </cell>
          <cell r="I267">
            <v>8.75</v>
          </cell>
          <cell r="J267">
            <v>7.3500000000000005</v>
          </cell>
          <cell r="K267">
            <v>7.5600000000000005</v>
          </cell>
          <cell r="L267">
            <v>7.3500000000000005</v>
          </cell>
          <cell r="M267">
            <v>8.75</v>
          </cell>
          <cell r="N267">
            <v>10.9375</v>
          </cell>
          <cell r="O267">
            <v>9.1875</v>
          </cell>
        </row>
        <row r="268">
          <cell r="C268" t="str">
            <v>100mm x 20mm</v>
          </cell>
          <cell r="D268">
            <v>11</v>
          </cell>
          <cell r="E268" t="str">
            <v>Nos.</v>
          </cell>
          <cell r="G268">
            <v>12.265000000000001</v>
          </cell>
          <cell r="H268">
            <v>12.265000000000001</v>
          </cell>
          <cell r="I268">
            <v>13.75</v>
          </cell>
          <cell r="J268">
            <v>11.55</v>
          </cell>
          <cell r="K268">
            <v>11.88</v>
          </cell>
          <cell r="L268">
            <v>11.55</v>
          </cell>
          <cell r="M268">
            <v>13.75</v>
          </cell>
          <cell r="N268">
            <v>17.1875</v>
          </cell>
          <cell r="O268">
            <v>14.4375</v>
          </cell>
        </row>
        <row r="269">
          <cell r="C269" t="str">
            <v>150mm x 20mm</v>
          </cell>
          <cell r="D269">
            <v>14</v>
          </cell>
          <cell r="E269" t="str">
            <v>Nos.</v>
          </cell>
          <cell r="G269">
            <v>15.61</v>
          </cell>
          <cell r="H269">
            <v>15.331250000000001</v>
          </cell>
          <cell r="I269">
            <v>17.5</v>
          </cell>
          <cell r="J269">
            <v>14.700000000000001</v>
          </cell>
          <cell r="K269">
            <v>15.120000000000001</v>
          </cell>
          <cell r="L269">
            <v>14.700000000000001</v>
          </cell>
          <cell r="M269">
            <v>17.5</v>
          </cell>
          <cell r="N269">
            <v>21.875</v>
          </cell>
          <cell r="O269">
            <v>18.375</v>
          </cell>
        </row>
        <row r="270">
          <cell r="C270" t="str">
            <v>200mm x 20mm</v>
          </cell>
          <cell r="D270">
            <v>19</v>
          </cell>
          <cell r="E270" t="str">
            <v>Nos.</v>
          </cell>
          <cell r="G270">
            <v>21.184999999999999</v>
          </cell>
          <cell r="H270">
            <v>20.627500000000001</v>
          </cell>
          <cell r="I270">
            <v>23.75</v>
          </cell>
          <cell r="J270">
            <v>19.95</v>
          </cell>
          <cell r="K270">
            <v>20.520000000000003</v>
          </cell>
          <cell r="L270">
            <v>19.95</v>
          </cell>
          <cell r="M270">
            <v>23.75</v>
          </cell>
          <cell r="N270">
            <v>29.6875</v>
          </cell>
          <cell r="O270">
            <v>24.9375</v>
          </cell>
        </row>
        <row r="271">
          <cell r="C271" t="str">
            <v>PVC Pipe 150MM dia</v>
          </cell>
          <cell r="D271">
            <v>88</v>
          </cell>
          <cell r="E271" t="str">
            <v>Rmt</v>
          </cell>
          <cell r="F271" t="str">
            <v>2/05-GRS268/81</v>
          </cell>
          <cell r="G271">
            <v>98.12</v>
          </cell>
          <cell r="H271">
            <v>98.12</v>
          </cell>
          <cell r="I271">
            <v>110</v>
          </cell>
          <cell r="J271">
            <v>92.4</v>
          </cell>
          <cell r="K271">
            <v>95.04</v>
          </cell>
          <cell r="L271">
            <v>92.4</v>
          </cell>
          <cell r="M271">
            <v>110</v>
          </cell>
          <cell r="N271">
            <v>137.5</v>
          </cell>
          <cell r="O271">
            <v>115.5</v>
          </cell>
        </row>
        <row r="272">
          <cell r="C272" t="str">
            <v>110MM dia ( 4Kg /sqcm)</v>
          </cell>
          <cell r="D272">
            <v>88</v>
          </cell>
          <cell r="E272" t="str">
            <v>Rmt</v>
          </cell>
          <cell r="G272">
            <v>98.12</v>
          </cell>
          <cell r="H272">
            <v>98.12</v>
          </cell>
          <cell r="I272">
            <v>110</v>
          </cell>
          <cell r="J272">
            <v>92.4</v>
          </cell>
          <cell r="K272">
            <v>95.04</v>
          </cell>
          <cell r="L272">
            <v>92.4</v>
          </cell>
          <cell r="M272">
            <v>110</v>
          </cell>
          <cell r="N272">
            <v>137.5</v>
          </cell>
          <cell r="O272">
            <v>115.5</v>
          </cell>
        </row>
        <row r="273">
          <cell r="C273" t="str">
            <v>100MM dia ( 6Kg/sqcm)</v>
          </cell>
          <cell r="D273">
            <v>98</v>
          </cell>
          <cell r="E273" t="str">
            <v>Rmt</v>
          </cell>
          <cell r="G273">
            <v>109.27</v>
          </cell>
          <cell r="H273">
            <v>109.27</v>
          </cell>
          <cell r="I273">
            <v>122.5</v>
          </cell>
          <cell r="J273">
            <v>102.9</v>
          </cell>
          <cell r="K273">
            <v>105.84</v>
          </cell>
          <cell r="L273">
            <v>102.9</v>
          </cell>
          <cell r="M273">
            <v>122.5</v>
          </cell>
          <cell r="N273">
            <v>153.125</v>
          </cell>
          <cell r="O273">
            <v>128.625</v>
          </cell>
        </row>
        <row r="274">
          <cell r="C274" t="str">
            <v xml:space="preserve">100MM dia ( 10Kg/sqcm)  </v>
          </cell>
          <cell r="D274">
            <v>158</v>
          </cell>
          <cell r="E274" t="str">
            <v>Rmt</v>
          </cell>
          <cell r="G274">
            <v>176.17</v>
          </cell>
          <cell r="H274">
            <v>176.17</v>
          </cell>
          <cell r="I274">
            <v>197.5</v>
          </cell>
          <cell r="J274">
            <v>165.9</v>
          </cell>
          <cell r="K274">
            <v>170.64000000000001</v>
          </cell>
          <cell r="L274">
            <v>165.9</v>
          </cell>
          <cell r="M274">
            <v>197.5</v>
          </cell>
          <cell r="N274">
            <v>246.875</v>
          </cell>
          <cell r="O274">
            <v>207.375</v>
          </cell>
        </row>
        <row r="275">
          <cell r="C275" t="str">
            <v xml:space="preserve"> 80MM dia (4 kg / sqcm)</v>
          </cell>
          <cell r="D275">
            <v>78</v>
          </cell>
          <cell r="E275" t="str">
            <v>Rmt</v>
          </cell>
          <cell r="G275">
            <v>86.97</v>
          </cell>
          <cell r="H275">
            <v>86.97</v>
          </cell>
          <cell r="I275">
            <v>97.5</v>
          </cell>
          <cell r="J275">
            <v>81.900000000000006</v>
          </cell>
          <cell r="K275">
            <v>84.240000000000009</v>
          </cell>
          <cell r="L275">
            <v>81.900000000000006</v>
          </cell>
          <cell r="M275">
            <v>97.5</v>
          </cell>
          <cell r="N275">
            <v>121.875</v>
          </cell>
          <cell r="O275">
            <v>102.375</v>
          </cell>
        </row>
        <row r="276">
          <cell r="C276" t="str">
            <v xml:space="preserve"> 80MM dia (6 kg / sqcm)</v>
          </cell>
          <cell r="D276">
            <v>85</v>
          </cell>
          <cell r="E276" t="str">
            <v>Rmt</v>
          </cell>
          <cell r="G276">
            <v>94.775000000000006</v>
          </cell>
          <cell r="H276">
            <v>94.775000000000006</v>
          </cell>
          <cell r="I276">
            <v>106.25</v>
          </cell>
          <cell r="J276">
            <v>89.25</v>
          </cell>
          <cell r="K276">
            <v>91.800000000000011</v>
          </cell>
          <cell r="L276">
            <v>89.25</v>
          </cell>
          <cell r="M276">
            <v>106.25</v>
          </cell>
          <cell r="N276">
            <v>132.8125</v>
          </cell>
          <cell r="O276">
            <v>111.5625</v>
          </cell>
        </row>
        <row r="277">
          <cell r="C277" t="str">
            <v xml:space="preserve"> 80MM dia (10 kg / sqcm)</v>
          </cell>
          <cell r="D277">
            <v>160</v>
          </cell>
          <cell r="E277" t="str">
            <v>Rmt</v>
          </cell>
          <cell r="G277">
            <v>178.4</v>
          </cell>
          <cell r="H277">
            <v>178.4</v>
          </cell>
          <cell r="I277">
            <v>200</v>
          </cell>
          <cell r="J277">
            <v>168</v>
          </cell>
          <cell r="K277">
            <v>172.8</v>
          </cell>
          <cell r="L277">
            <v>168</v>
          </cell>
          <cell r="M277">
            <v>200</v>
          </cell>
          <cell r="N277">
            <v>250</v>
          </cell>
          <cell r="O277">
            <v>210</v>
          </cell>
        </row>
        <row r="278">
          <cell r="C278" t="str">
            <v xml:space="preserve"> 50MM dia (4 kg / sqcm)</v>
          </cell>
          <cell r="D278">
            <v>40</v>
          </cell>
          <cell r="E278" t="str">
            <v>Rmt</v>
          </cell>
          <cell r="G278">
            <v>44.6</v>
          </cell>
          <cell r="H278">
            <v>44.6</v>
          </cell>
          <cell r="I278">
            <v>50</v>
          </cell>
          <cell r="J278">
            <v>42</v>
          </cell>
          <cell r="K278">
            <v>43.2</v>
          </cell>
          <cell r="L278">
            <v>42</v>
          </cell>
          <cell r="M278">
            <v>50</v>
          </cell>
          <cell r="N278">
            <v>62.5</v>
          </cell>
          <cell r="O278">
            <v>52.5</v>
          </cell>
        </row>
        <row r="279">
          <cell r="C279" t="str">
            <v xml:space="preserve"> 50MM dia (6 kg / sqcm)</v>
          </cell>
          <cell r="D279">
            <v>55</v>
          </cell>
          <cell r="E279" t="str">
            <v>Rmt</v>
          </cell>
          <cell r="G279">
            <v>61.325000000000003</v>
          </cell>
          <cell r="H279">
            <v>61.325000000000003</v>
          </cell>
          <cell r="I279">
            <v>68.75</v>
          </cell>
          <cell r="J279">
            <v>57.75</v>
          </cell>
          <cell r="K279">
            <v>59.400000000000006</v>
          </cell>
          <cell r="L279">
            <v>57.75</v>
          </cell>
          <cell r="M279">
            <v>68.75</v>
          </cell>
          <cell r="N279">
            <v>85.9375</v>
          </cell>
          <cell r="O279">
            <v>72.1875</v>
          </cell>
        </row>
        <row r="280">
          <cell r="C280" t="str">
            <v xml:space="preserve"> 50MM dia (10 kg / sqcm)</v>
          </cell>
          <cell r="D280">
            <v>65</v>
          </cell>
          <cell r="E280" t="str">
            <v>Rmt</v>
          </cell>
          <cell r="G280">
            <v>72.474999999999994</v>
          </cell>
          <cell r="H280">
            <v>72.474999999999994</v>
          </cell>
          <cell r="I280">
            <v>81.25</v>
          </cell>
          <cell r="J280">
            <v>68.25</v>
          </cell>
          <cell r="K280">
            <v>70.2</v>
          </cell>
          <cell r="L280">
            <v>68.25</v>
          </cell>
          <cell r="M280">
            <v>81.25</v>
          </cell>
          <cell r="N280">
            <v>101.5625</v>
          </cell>
          <cell r="O280">
            <v>85.3125</v>
          </cell>
        </row>
        <row r="281">
          <cell r="C281" t="str">
            <v xml:space="preserve"> 40MM dia (4 kg / sqcm)</v>
          </cell>
          <cell r="D281">
            <v>32</v>
          </cell>
          <cell r="E281" t="str">
            <v>Rmt</v>
          </cell>
          <cell r="G281">
            <v>35.68</v>
          </cell>
          <cell r="H281">
            <v>35.68</v>
          </cell>
          <cell r="I281">
            <v>40</v>
          </cell>
          <cell r="J281">
            <v>33.6</v>
          </cell>
          <cell r="K281">
            <v>34.56</v>
          </cell>
          <cell r="L281">
            <v>33.6</v>
          </cell>
          <cell r="M281">
            <v>40</v>
          </cell>
          <cell r="N281">
            <v>50</v>
          </cell>
          <cell r="O281">
            <v>42</v>
          </cell>
        </row>
        <row r="282">
          <cell r="C282" t="str">
            <v xml:space="preserve"> 40MM dia (6 kg / sqcm)</v>
          </cell>
          <cell r="D282">
            <v>36</v>
          </cell>
          <cell r="E282" t="str">
            <v>Rmt</v>
          </cell>
          <cell r="G282">
            <v>40.14</v>
          </cell>
          <cell r="H282">
            <v>40.14</v>
          </cell>
          <cell r="I282">
            <v>45</v>
          </cell>
          <cell r="J282">
            <v>37.800000000000004</v>
          </cell>
          <cell r="K282">
            <v>38.880000000000003</v>
          </cell>
          <cell r="L282">
            <v>37.800000000000004</v>
          </cell>
          <cell r="M282">
            <v>45</v>
          </cell>
          <cell r="N282">
            <v>56.25</v>
          </cell>
          <cell r="O282">
            <v>47.250000000000007</v>
          </cell>
        </row>
        <row r="283">
          <cell r="C283" t="str">
            <v xml:space="preserve"> 40MM dia (10 kg / sqcm)</v>
          </cell>
          <cell r="D283">
            <v>48</v>
          </cell>
          <cell r="E283" t="str">
            <v>Rmt</v>
          </cell>
          <cell r="G283">
            <v>53.519999999999996</v>
          </cell>
          <cell r="H283">
            <v>53.52</v>
          </cell>
          <cell r="I283">
            <v>60</v>
          </cell>
          <cell r="J283">
            <v>50.400000000000006</v>
          </cell>
          <cell r="K283">
            <v>51.84</v>
          </cell>
          <cell r="L283">
            <v>50.400000000000006</v>
          </cell>
          <cell r="M283">
            <v>60</v>
          </cell>
          <cell r="N283">
            <v>75</v>
          </cell>
          <cell r="O283">
            <v>63.000000000000007</v>
          </cell>
        </row>
        <row r="284">
          <cell r="C284" t="str">
            <v>25MM dia (4 kg / sqcm)</v>
          </cell>
          <cell r="D284">
            <v>32</v>
          </cell>
          <cell r="E284" t="str">
            <v>Rmt</v>
          </cell>
          <cell r="G284">
            <v>35.68</v>
          </cell>
          <cell r="H284">
            <v>35.68</v>
          </cell>
          <cell r="I284">
            <v>40</v>
          </cell>
          <cell r="J284">
            <v>33.6</v>
          </cell>
          <cell r="K284">
            <v>34.56</v>
          </cell>
          <cell r="L284">
            <v>33.6</v>
          </cell>
          <cell r="M284">
            <v>40</v>
          </cell>
          <cell r="N284">
            <v>50</v>
          </cell>
          <cell r="O284">
            <v>42</v>
          </cell>
        </row>
        <row r="285">
          <cell r="C285" t="str">
            <v>25MM dia (6 kg / sqcm)</v>
          </cell>
          <cell r="D285">
            <v>38</v>
          </cell>
          <cell r="E285" t="str">
            <v>Rmt</v>
          </cell>
          <cell r="G285">
            <v>42.37</v>
          </cell>
          <cell r="H285">
            <v>42.37</v>
          </cell>
          <cell r="I285">
            <v>47.5</v>
          </cell>
          <cell r="J285">
            <v>39.9</v>
          </cell>
          <cell r="K285">
            <v>41.040000000000006</v>
          </cell>
          <cell r="L285">
            <v>39.9</v>
          </cell>
          <cell r="M285">
            <v>47.5</v>
          </cell>
          <cell r="N285">
            <v>59.375</v>
          </cell>
          <cell r="O285">
            <v>49.875</v>
          </cell>
        </row>
        <row r="286">
          <cell r="C286" t="str">
            <v>25MM dia (10 kg / sqcm)</v>
          </cell>
          <cell r="D286">
            <v>42</v>
          </cell>
          <cell r="E286" t="str">
            <v>Rmt</v>
          </cell>
          <cell r="G286">
            <v>46.83</v>
          </cell>
          <cell r="H286">
            <v>46.83</v>
          </cell>
          <cell r="I286">
            <v>52.5</v>
          </cell>
          <cell r="J286">
            <v>44.1</v>
          </cell>
          <cell r="K286">
            <v>45.36</v>
          </cell>
          <cell r="L286">
            <v>44.1</v>
          </cell>
          <cell r="M286">
            <v>52.5</v>
          </cell>
          <cell r="N286">
            <v>65.625</v>
          </cell>
          <cell r="O286">
            <v>55.125</v>
          </cell>
        </row>
        <row r="287">
          <cell r="C287" t="str">
            <v xml:space="preserve"> 20 mm dia</v>
          </cell>
          <cell r="D287">
            <v>18</v>
          </cell>
          <cell r="E287" t="str">
            <v>Rmt</v>
          </cell>
          <cell r="F287" t="str">
            <v>2/05-GRS268/81</v>
          </cell>
          <cell r="G287">
            <v>20.07</v>
          </cell>
          <cell r="H287">
            <v>20.07</v>
          </cell>
          <cell r="I287">
            <v>22.5</v>
          </cell>
          <cell r="J287">
            <v>18.900000000000002</v>
          </cell>
          <cell r="K287">
            <v>19.440000000000001</v>
          </cell>
          <cell r="L287">
            <v>18.900000000000002</v>
          </cell>
          <cell r="M287">
            <v>22.5</v>
          </cell>
          <cell r="N287">
            <v>28.125</v>
          </cell>
          <cell r="O287">
            <v>23.625000000000004</v>
          </cell>
        </row>
        <row r="288">
          <cell r="C288" t="str">
            <v>21 MM dia 6Kg/sqcm)</v>
          </cell>
          <cell r="D288">
            <v>32</v>
          </cell>
          <cell r="E288" t="str">
            <v>Rmt</v>
          </cell>
          <cell r="G288">
            <v>35.68</v>
          </cell>
          <cell r="H288">
            <v>35.68</v>
          </cell>
          <cell r="I288">
            <v>40</v>
          </cell>
          <cell r="J288">
            <v>33.6</v>
          </cell>
          <cell r="K288">
            <v>34.56</v>
          </cell>
          <cell r="L288">
            <v>33.6</v>
          </cell>
          <cell r="M288">
            <v>40</v>
          </cell>
          <cell r="N288">
            <v>50</v>
          </cell>
          <cell r="O288">
            <v>42</v>
          </cell>
        </row>
        <row r="289">
          <cell r="C289" t="str">
            <v>22 MM dia 10Kg/sqcm)</v>
          </cell>
          <cell r="D289">
            <v>30</v>
          </cell>
          <cell r="E289" t="str">
            <v>Rmt</v>
          </cell>
          <cell r="G289">
            <v>33.450000000000003</v>
          </cell>
          <cell r="H289">
            <v>33.450000000000003</v>
          </cell>
          <cell r="I289">
            <v>37.5</v>
          </cell>
          <cell r="J289">
            <v>31.5</v>
          </cell>
          <cell r="K289">
            <v>32.400000000000006</v>
          </cell>
          <cell r="L289">
            <v>31.5</v>
          </cell>
          <cell r="M289">
            <v>37.5</v>
          </cell>
          <cell r="N289">
            <v>46.875</v>
          </cell>
          <cell r="O289">
            <v>39.375</v>
          </cell>
        </row>
        <row r="290">
          <cell r="C290" t="str">
            <v>bend 15 mm dia</v>
          </cell>
          <cell r="D290">
            <v>8</v>
          </cell>
          <cell r="E290" t="str">
            <v>Nos.</v>
          </cell>
          <cell r="G290">
            <v>8.92</v>
          </cell>
          <cell r="H290">
            <v>8.92</v>
          </cell>
          <cell r="I290">
            <v>10</v>
          </cell>
          <cell r="J290">
            <v>8.4</v>
          </cell>
          <cell r="K290">
            <v>8.64</v>
          </cell>
          <cell r="L290">
            <v>8.4</v>
          </cell>
          <cell r="M290">
            <v>10</v>
          </cell>
          <cell r="N290">
            <v>12.5</v>
          </cell>
          <cell r="O290">
            <v>10.5</v>
          </cell>
        </row>
        <row r="291">
          <cell r="C291" t="str">
            <v>20 mm dia</v>
          </cell>
          <cell r="D291">
            <v>12</v>
          </cell>
          <cell r="E291" t="str">
            <v>Nos.</v>
          </cell>
          <cell r="G291">
            <v>13.379999999999999</v>
          </cell>
          <cell r="H291">
            <v>13.38</v>
          </cell>
          <cell r="I291">
            <v>15</v>
          </cell>
          <cell r="J291">
            <v>12.600000000000001</v>
          </cell>
          <cell r="K291">
            <v>12.96</v>
          </cell>
          <cell r="L291">
            <v>12.600000000000001</v>
          </cell>
          <cell r="M291">
            <v>15</v>
          </cell>
          <cell r="N291">
            <v>18.75</v>
          </cell>
          <cell r="O291">
            <v>15.750000000000002</v>
          </cell>
        </row>
        <row r="292">
          <cell r="C292" t="str">
            <v>25 mm dia</v>
          </cell>
          <cell r="D292">
            <v>18</v>
          </cell>
          <cell r="E292" t="str">
            <v>Nos.</v>
          </cell>
          <cell r="G292">
            <v>20.07</v>
          </cell>
          <cell r="H292">
            <v>20.07</v>
          </cell>
          <cell r="I292">
            <v>22.5</v>
          </cell>
          <cell r="J292">
            <v>18.900000000000002</v>
          </cell>
          <cell r="K292">
            <v>19.440000000000001</v>
          </cell>
          <cell r="L292">
            <v>18.900000000000002</v>
          </cell>
          <cell r="M292">
            <v>22.5</v>
          </cell>
          <cell r="N292">
            <v>28.125</v>
          </cell>
          <cell r="O292">
            <v>23.625000000000004</v>
          </cell>
        </row>
        <row r="293">
          <cell r="C293" t="str">
            <v xml:space="preserve"> 40 mm dia</v>
          </cell>
          <cell r="D293">
            <v>25</v>
          </cell>
          <cell r="E293" t="str">
            <v>Nos.</v>
          </cell>
          <cell r="G293">
            <v>27.875</v>
          </cell>
          <cell r="H293">
            <v>27.875</v>
          </cell>
          <cell r="I293">
            <v>31.25</v>
          </cell>
          <cell r="J293">
            <v>26.25</v>
          </cell>
          <cell r="K293">
            <v>27</v>
          </cell>
          <cell r="L293">
            <v>26.25</v>
          </cell>
          <cell r="M293">
            <v>31.25</v>
          </cell>
          <cell r="N293">
            <v>39.0625</v>
          </cell>
          <cell r="O293">
            <v>32.8125</v>
          </cell>
        </row>
        <row r="294">
          <cell r="C294" t="str">
            <v>50 mm dia</v>
          </cell>
          <cell r="D294">
            <v>35</v>
          </cell>
          <cell r="E294" t="str">
            <v>Nos.</v>
          </cell>
          <cell r="G294">
            <v>39.024999999999999</v>
          </cell>
          <cell r="H294">
            <v>39.024999999999999</v>
          </cell>
          <cell r="I294">
            <v>43.75</v>
          </cell>
          <cell r="J294">
            <v>36.75</v>
          </cell>
          <cell r="K294">
            <v>37.800000000000004</v>
          </cell>
          <cell r="L294">
            <v>36.75</v>
          </cell>
          <cell r="M294">
            <v>43.75</v>
          </cell>
          <cell r="N294">
            <v>54.6875</v>
          </cell>
          <cell r="O294">
            <v>45.9375</v>
          </cell>
        </row>
        <row r="295">
          <cell r="C295" t="str">
            <v xml:space="preserve"> 80 mm dia</v>
          </cell>
          <cell r="D295">
            <v>48</v>
          </cell>
          <cell r="E295" t="str">
            <v>Nos.</v>
          </cell>
          <cell r="G295">
            <v>53.519999999999996</v>
          </cell>
          <cell r="H295">
            <v>53.52</v>
          </cell>
          <cell r="I295">
            <v>60</v>
          </cell>
          <cell r="J295">
            <v>50.400000000000006</v>
          </cell>
          <cell r="K295">
            <v>51.84</v>
          </cell>
          <cell r="L295">
            <v>50.400000000000006</v>
          </cell>
          <cell r="M295">
            <v>60</v>
          </cell>
          <cell r="N295">
            <v>75</v>
          </cell>
          <cell r="O295">
            <v>63.000000000000007</v>
          </cell>
        </row>
        <row r="296">
          <cell r="C296" t="str">
            <v>Tee 15 mm dia</v>
          </cell>
          <cell r="D296">
            <v>10</v>
          </cell>
          <cell r="E296" t="str">
            <v>Nos.</v>
          </cell>
          <cell r="G296">
            <v>11.15</v>
          </cell>
          <cell r="H296">
            <v>11.15</v>
          </cell>
          <cell r="I296">
            <v>12.5</v>
          </cell>
          <cell r="J296">
            <v>10.5</v>
          </cell>
          <cell r="K296">
            <v>10.8</v>
          </cell>
          <cell r="L296">
            <v>10.5</v>
          </cell>
          <cell r="M296">
            <v>12.5</v>
          </cell>
          <cell r="N296">
            <v>15.625</v>
          </cell>
          <cell r="O296">
            <v>13.125</v>
          </cell>
        </row>
        <row r="297">
          <cell r="C297" t="str">
            <v>20 mm dia</v>
          </cell>
          <cell r="D297">
            <v>12</v>
          </cell>
          <cell r="E297" t="str">
            <v>Nos.</v>
          </cell>
          <cell r="G297">
            <v>13.379999999999999</v>
          </cell>
          <cell r="H297">
            <v>13.38</v>
          </cell>
          <cell r="I297">
            <v>15</v>
          </cell>
          <cell r="J297">
            <v>12.600000000000001</v>
          </cell>
          <cell r="K297">
            <v>12.96</v>
          </cell>
          <cell r="L297">
            <v>12.600000000000001</v>
          </cell>
          <cell r="M297">
            <v>15</v>
          </cell>
          <cell r="N297">
            <v>18.75</v>
          </cell>
          <cell r="O297">
            <v>15.750000000000002</v>
          </cell>
        </row>
        <row r="298">
          <cell r="C298" t="str">
            <v>25 mm dia</v>
          </cell>
          <cell r="D298">
            <v>15</v>
          </cell>
          <cell r="E298" t="str">
            <v>Nos.</v>
          </cell>
          <cell r="G298">
            <v>16.725000000000001</v>
          </cell>
          <cell r="H298">
            <v>16.725000000000001</v>
          </cell>
          <cell r="I298">
            <v>18.75</v>
          </cell>
          <cell r="J298">
            <v>15.75</v>
          </cell>
          <cell r="K298">
            <v>16.200000000000003</v>
          </cell>
          <cell r="L298">
            <v>15.75</v>
          </cell>
          <cell r="M298">
            <v>18.75</v>
          </cell>
          <cell r="N298">
            <v>23.4375</v>
          </cell>
          <cell r="O298">
            <v>19.6875</v>
          </cell>
        </row>
        <row r="299">
          <cell r="C299" t="str">
            <v>40 mm dia</v>
          </cell>
          <cell r="D299">
            <v>32</v>
          </cell>
          <cell r="E299" t="str">
            <v>Nos.</v>
          </cell>
          <cell r="G299">
            <v>35.68</v>
          </cell>
          <cell r="H299">
            <v>35.68</v>
          </cell>
          <cell r="I299">
            <v>40</v>
          </cell>
          <cell r="J299">
            <v>33.6</v>
          </cell>
          <cell r="K299">
            <v>34.56</v>
          </cell>
          <cell r="L299">
            <v>33.6</v>
          </cell>
          <cell r="M299">
            <v>40</v>
          </cell>
          <cell r="N299">
            <v>50</v>
          </cell>
          <cell r="O299">
            <v>42</v>
          </cell>
        </row>
        <row r="300">
          <cell r="C300" t="str">
            <v>50 mm dia</v>
          </cell>
          <cell r="D300">
            <v>38</v>
          </cell>
          <cell r="E300" t="str">
            <v>Nos.</v>
          </cell>
          <cell r="G300">
            <v>42.37</v>
          </cell>
          <cell r="H300">
            <v>42.37</v>
          </cell>
          <cell r="I300">
            <v>47.5</v>
          </cell>
          <cell r="J300">
            <v>39.9</v>
          </cell>
          <cell r="K300">
            <v>41.040000000000006</v>
          </cell>
          <cell r="L300">
            <v>39.9</v>
          </cell>
          <cell r="M300">
            <v>47.5</v>
          </cell>
          <cell r="N300">
            <v>59.375</v>
          </cell>
          <cell r="O300">
            <v>49.875</v>
          </cell>
        </row>
        <row r="301">
          <cell r="C301" t="str">
            <v>80 mm dia</v>
          </cell>
          <cell r="D301">
            <v>55</v>
          </cell>
          <cell r="E301" t="str">
            <v>Nos.</v>
          </cell>
          <cell r="G301">
            <v>61.325000000000003</v>
          </cell>
          <cell r="H301">
            <v>61.325000000000003</v>
          </cell>
          <cell r="I301">
            <v>68.75</v>
          </cell>
          <cell r="J301">
            <v>57.75</v>
          </cell>
          <cell r="K301">
            <v>59.400000000000006</v>
          </cell>
          <cell r="L301">
            <v>57.75</v>
          </cell>
          <cell r="M301">
            <v>68.75</v>
          </cell>
          <cell r="N301">
            <v>85.9375</v>
          </cell>
          <cell r="O301">
            <v>72.1875</v>
          </cell>
        </row>
        <row r="302">
          <cell r="C302" t="str">
            <v>100 mm dia</v>
          </cell>
          <cell r="D302">
            <v>75</v>
          </cell>
          <cell r="E302" t="str">
            <v>Nos.</v>
          </cell>
          <cell r="G302">
            <v>83.625</v>
          </cell>
          <cell r="H302">
            <v>83.625</v>
          </cell>
          <cell r="I302">
            <v>93.75</v>
          </cell>
          <cell r="J302">
            <v>78.75</v>
          </cell>
          <cell r="K302">
            <v>81</v>
          </cell>
          <cell r="L302">
            <v>78.75</v>
          </cell>
          <cell r="M302">
            <v>93.75</v>
          </cell>
          <cell r="N302">
            <v>117.1875</v>
          </cell>
          <cell r="O302">
            <v>98.4375</v>
          </cell>
        </row>
        <row r="303">
          <cell r="C303" t="str">
            <v>150 mm dia</v>
          </cell>
          <cell r="D303">
            <v>180</v>
          </cell>
          <cell r="E303" t="str">
            <v>Nos.</v>
          </cell>
          <cell r="G303">
            <v>200.7</v>
          </cell>
          <cell r="H303">
            <v>200.7</v>
          </cell>
          <cell r="I303">
            <v>225</v>
          </cell>
          <cell r="J303">
            <v>189</v>
          </cell>
          <cell r="K303">
            <v>194.4</v>
          </cell>
          <cell r="L303">
            <v>189</v>
          </cell>
          <cell r="M303">
            <v>225</v>
          </cell>
          <cell r="N303">
            <v>281.25</v>
          </cell>
          <cell r="O303">
            <v>236.25</v>
          </cell>
        </row>
        <row r="304">
          <cell r="C304" t="str">
            <v>Plug15 mm dia</v>
          </cell>
          <cell r="D304">
            <v>5</v>
          </cell>
          <cell r="E304" t="str">
            <v>Nos.</v>
          </cell>
          <cell r="G304">
            <v>5.5750000000000002</v>
          </cell>
          <cell r="H304">
            <v>5.5750000000000002</v>
          </cell>
          <cell r="I304">
            <v>6.25</v>
          </cell>
          <cell r="J304">
            <v>5.25</v>
          </cell>
          <cell r="K304">
            <v>5.4</v>
          </cell>
          <cell r="L304">
            <v>5.25</v>
          </cell>
          <cell r="M304">
            <v>6.25</v>
          </cell>
          <cell r="N304">
            <v>7.8125</v>
          </cell>
          <cell r="O304">
            <v>6.5625</v>
          </cell>
        </row>
        <row r="305">
          <cell r="C305" t="str">
            <v>20 mm dia</v>
          </cell>
          <cell r="D305">
            <v>6</v>
          </cell>
          <cell r="E305" t="str">
            <v>Nos.</v>
          </cell>
          <cell r="G305">
            <v>6.6899999999999995</v>
          </cell>
          <cell r="H305">
            <v>6.69</v>
          </cell>
          <cell r="I305">
            <v>7.5</v>
          </cell>
          <cell r="J305">
            <v>6.3000000000000007</v>
          </cell>
          <cell r="K305">
            <v>6.48</v>
          </cell>
          <cell r="L305">
            <v>6.3000000000000007</v>
          </cell>
          <cell r="M305">
            <v>7.5</v>
          </cell>
          <cell r="N305">
            <v>9.375</v>
          </cell>
          <cell r="O305">
            <v>7.8750000000000009</v>
          </cell>
        </row>
        <row r="306">
          <cell r="C306" t="str">
            <v>25 mm dia</v>
          </cell>
          <cell r="D306">
            <v>9</v>
          </cell>
          <cell r="E306" t="str">
            <v>Nos.</v>
          </cell>
          <cell r="G306">
            <v>10.035</v>
          </cell>
          <cell r="H306">
            <v>10.035</v>
          </cell>
          <cell r="I306">
            <v>11.25</v>
          </cell>
          <cell r="J306">
            <v>9.4500000000000011</v>
          </cell>
          <cell r="K306">
            <v>9.7200000000000006</v>
          </cell>
          <cell r="L306">
            <v>9.4500000000000011</v>
          </cell>
          <cell r="M306">
            <v>11.25</v>
          </cell>
          <cell r="N306">
            <v>14.0625</v>
          </cell>
          <cell r="O306">
            <v>11.812500000000002</v>
          </cell>
        </row>
        <row r="307">
          <cell r="C307" t="str">
            <v>40 mm dia</v>
          </cell>
          <cell r="D307">
            <v>18</v>
          </cell>
          <cell r="E307" t="str">
            <v>Nos.</v>
          </cell>
          <cell r="G307">
            <v>20.07</v>
          </cell>
          <cell r="H307">
            <v>20.07</v>
          </cell>
          <cell r="I307">
            <v>22.5</v>
          </cell>
          <cell r="J307">
            <v>18.900000000000002</v>
          </cell>
          <cell r="K307">
            <v>19.440000000000001</v>
          </cell>
          <cell r="L307">
            <v>18.900000000000002</v>
          </cell>
          <cell r="M307">
            <v>22.5</v>
          </cell>
          <cell r="N307">
            <v>28.125</v>
          </cell>
          <cell r="O307">
            <v>23.625000000000004</v>
          </cell>
        </row>
        <row r="308">
          <cell r="C308" t="str">
            <v>50 mm dia</v>
          </cell>
          <cell r="D308">
            <v>28</v>
          </cell>
          <cell r="E308" t="str">
            <v>Nos.</v>
          </cell>
          <cell r="G308">
            <v>31.22</v>
          </cell>
          <cell r="H308">
            <v>31.22</v>
          </cell>
          <cell r="I308">
            <v>35</v>
          </cell>
          <cell r="J308">
            <v>29.400000000000002</v>
          </cell>
          <cell r="K308">
            <v>30.240000000000002</v>
          </cell>
          <cell r="L308">
            <v>29.400000000000002</v>
          </cell>
          <cell r="M308">
            <v>35</v>
          </cell>
          <cell r="N308">
            <v>43.75</v>
          </cell>
          <cell r="O308">
            <v>36.75</v>
          </cell>
        </row>
        <row r="309">
          <cell r="C309" t="str">
            <v>80 mm dia</v>
          </cell>
          <cell r="D309">
            <v>55</v>
          </cell>
          <cell r="E309" t="str">
            <v>Nos.</v>
          </cell>
          <cell r="G309">
            <v>61.325000000000003</v>
          </cell>
          <cell r="H309">
            <v>61.325000000000003</v>
          </cell>
          <cell r="I309">
            <v>68.75</v>
          </cell>
          <cell r="J309">
            <v>57.75</v>
          </cell>
          <cell r="K309">
            <v>59.400000000000006</v>
          </cell>
          <cell r="L309">
            <v>57.75</v>
          </cell>
          <cell r="M309">
            <v>68.75</v>
          </cell>
          <cell r="N309">
            <v>85.9375</v>
          </cell>
          <cell r="O309">
            <v>72.1875</v>
          </cell>
        </row>
        <row r="310">
          <cell r="C310" t="str">
            <v>100 mm dia</v>
          </cell>
          <cell r="D310">
            <v>75</v>
          </cell>
          <cell r="E310" t="str">
            <v>Nos.</v>
          </cell>
          <cell r="G310">
            <v>83.625</v>
          </cell>
          <cell r="H310">
            <v>83.625</v>
          </cell>
          <cell r="I310">
            <v>93.75</v>
          </cell>
          <cell r="J310">
            <v>78.75</v>
          </cell>
          <cell r="K310">
            <v>81</v>
          </cell>
          <cell r="L310">
            <v>78.75</v>
          </cell>
          <cell r="M310">
            <v>93.75</v>
          </cell>
          <cell r="N310">
            <v>117.1875</v>
          </cell>
          <cell r="O310">
            <v>98.4375</v>
          </cell>
        </row>
        <row r="311">
          <cell r="C311" t="str">
            <v>150 mm dia</v>
          </cell>
          <cell r="D311">
            <v>125</v>
          </cell>
          <cell r="E311" t="str">
            <v>Nos.</v>
          </cell>
          <cell r="G311">
            <v>139.375</v>
          </cell>
          <cell r="H311">
            <v>139.375</v>
          </cell>
          <cell r="I311">
            <v>156.25</v>
          </cell>
          <cell r="J311">
            <v>131.25</v>
          </cell>
          <cell r="K311">
            <v>135</v>
          </cell>
          <cell r="L311">
            <v>131.25</v>
          </cell>
          <cell r="M311">
            <v>156.25</v>
          </cell>
          <cell r="N311">
            <v>195.3125</v>
          </cell>
          <cell r="O311">
            <v>164.0625</v>
          </cell>
        </row>
        <row r="312">
          <cell r="C312" t="str">
            <v xml:space="preserve">PVC Foot valve 1" dia </v>
          </cell>
          <cell r="D312">
            <v>38</v>
          </cell>
          <cell r="E312" t="str">
            <v>Nos.</v>
          </cell>
          <cell r="G312">
            <v>42.37</v>
          </cell>
          <cell r="H312">
            <v>42.37</v>
          </cell>
          <cell r="I312">
            <v>47.5</v>
          </cell>
          <cell r="J312">
            <v>39.9</v>
          </cell>
          <cell r="K312">
            <v>41.040000000000006</v>
          </cell>
          <cell r="L312">
            <v>39.9</v>
          </cell>
          <cell r="M312">
            <v>47.5</v>
          </cell>
          <cell r="N312">
            <v>59.375</v>
          </cell>
          <cell r="O312">
            <v>49.875</v>
          </cell>
        </row>
        <row r="313">
          <cell r="C313" t="str">
            <v xml:space="preserve">PVC Foot valve 1-1/2" dia </v>
          </cell>
          <cell r="D313">
            <v>62</v>
          </cell>
          <cell r="E313" t="str">
            <v>Nos.</v>
          </cell>
          <cell r="G313">
            <v>69.13</v>
          </cell>
          <cell r="H313">
            <v>69.13</v>
          </cell>
          <cell r="I313">
            <v>77.5</v>
          </cell>
          <cell r="J313">
            <v>65.100000000000009</v>
          </cell>
          <cell r="K313">
            <v>66.960000000000008</v>
          </cell>
          <cell r="L313">
            <v>65.100000000000009</v>
          </cell>
          <cell r="M313">
            <v>77.5</v>
          </cell>
          <cell r="N313">
            <v>96.875</v>
          </cell>
          <cell r="O313">
            <v>81.375000000000014</v>
          </cell>
        </row>
        <row r="314">
          <cell r="C314" t="str">
            <v xml:space="preserve">PVC Foot valve 2" dia </v>
          </cell>
          <cell r="D314">
            <v>106</v>
          </cell>
          <cell r="E314" t="str">
            <v>Nos.</v>
          </cell>
          <cell r="G314">
            <v>118.19</v>
          </cell>
          <cell r="H314">
            <v>118.19</v>
          </cell>
          <cell r="I314">
            <v>132.5</v>
          </cell>
          <cell r="J314">
            <v>111.30000000000001</v>
          </cell>
          <cell r="K314">
            <v>114.48</v>
          </cell>
          <cell r="L314">
            <v>111.30000000000001</v>
          </cell>
          <cell r="M314">
            <v>132.5</v>
          </cell>
          <cell r="N314">
            <v>165.625</v>
          </cell>
          <cell r="O314">
            <v>139.125</v>
          </cell>
        </row>
        <row r="315">
          <cell r="C315" t="str">
            <v xml:space="preserve">PVC Foot valve 3" dia </v>
          </cell>
          <cell r="D315">
            <v>215</v>
          </cell>
          <cell r="E315" t="str">
            <v>Nos.</v>
          </cell>
          <cell r="G315">
            <v>239.72499999999999</v>
          </cell>
          <cell r="H315">
            <v>239.72499999999999</v>
          </cell>
          <cell r="I315">
            <v>268.75</v>
          </cell>
          <cell r="J315">
            <v>225.75</v>
          </cell>
          <cell r="K315">
            <v>232.20000000000002</v>
          </cell>
          <cell r="L315">
            <v>225.75</v>
          </cell>
          <cell r="M315">
            <v>268.75</v>
          </cell>
          <cell r="N315">
            <v>335.9375</v>
          </cell>
          <cell r="O315">
            <v>282.1875</v>
          </cell>
        </row>
        <row r="316">
          <cell r="C316" t="str">
            <v xml:space="preserve">PVC Foot valve 4" dia </v>
          </cell>
          <cell r="D316">
            <v>328</v>
          </cell>
          <cell r="E316" t="str">
            <v>Nos.</v>
          </cell>
          <cell r="G316">
            <v>365.71999999999997</v>
          </cell>
          <cell r="H316">
            <v>365.72</v>
          </cell>
          <cell r="I316">
            <v>410</v>
          </cell>
          <cell r="J316">
            <v>344.40000000000003</v>
          </cell>
          <cell r="K316">
            <v>354.24</v>
          </cell>
          <cell r="L316">
            <v>344.40000000000003</v>
          </cell>
          <cell r="M316">
            <v>410</v>
          </cell>
          <cell r="N316">
            <v>512.5</v>
          </cell>
          <cell r="O316">
            <v>430.50000000000006</v>
          </cell>
        </row>
        <row r="317">
          <cell r="C317" t="str">
            <v>HCI pipe 4"</v>
          </cell>
          <cell r="D317">
            <v>208</v>
          </cell>
          <cell r="E317" t="str">
            <v>Rmt</v>
          </cell>
          <cell r="F317" t="str">
            <v>5/2K-GRS219/92</v>
          </cell>
          <cell r="G317">
            <v>231.92</v>
          </cell>
          <cell r="H317">
            <v>231.92</v>
          </cell>
          <cell r="I317">
            <v>260</v>
          </cell>
          <cell r="J317">
            <v>218.4</v>
          </cell>
          <cell r="K317">
            <v>224.64000000000001</v>
          </cell>
          <cell r="L317">
            <v>218.4</v>
          </cell>
          <cell r="M317">
            <v>260</v>
          </cell>
          <cell r="N317">
            <v>325</v>
          </cell>
          <cell r="O317">
            <v>273</v>
          </cell>
        </row>
        <row r="318">
          <cell r="C318" t="str">
            <v>HCI pipe 3"</v>
          </cell>
          <cell r="D318">
            <v>182</v>
          </cell>
          <cell r="E318" t="str">
            <v>Rmt</v>
          </cell>
          <cell r="F318" t="str">
            <v>5/2K-GRS219/92</v>
          </cell>
          <cell r="G318">
            <v>202.93</v>
          </cell>
          <cell r="H318">
            <v>202.56204999999997</v>
          </cell>
          <cell r="I318">
            <v>227.5</v>
          </cell>
          <cell r="J318">
            <v>191.1</v>
          </cell>
          <cell r="K318">
            <v>196.56</v>
          </cell>
          <cell r="L318">
            <v>191.1</v>
          </cell>
          <cell r="M318">
            <v>227.5</v>
          </cell>
          <cell r="N318">
            <v>284.375</v>
          </cell>
          <cell r="O318">
            <v>238.875</v>
          </cell>
        </row>
        <row r="319">
          <cell r="C319" t="str">
            <v>HCI Bend 3" dia</v>
          </cell>
          <cell r="D319">
            <v>66</v>
          </cell>
          <cell r="E319" t="str">
            <v>Rmt</v>
          </cell>
          <cell r="F319" t="str">
            <v>4/2K-GRS219/72</v>
          </cell>
          <cell r="G319">
            <v>73.59</v>
          </cell>
          <cell r="H319">
            <v>73.59</v>
          </cell>
          <cell r="I319">
            <v>82.5</v>
          </cell>
          <cell r="J319">
            <v>69.3</v>
          </cell>
          <cell r="K319">
            <v>71.28</v>
          </cell>
          <cell r="L319">
            <v>69.3</v>
          </cell>
          <cell r="M319">
            <v>82.5</v>
          </cell>
          <cell r="N319">
            <v>103.125</v>
          </cell>
          <cell r="O319">
            <v>86.625</v>
          </cell>
        </row>
        <row r="320">
          <cell r="C320" t="str">
            <v>HCI Bend 4" dia</v>
          </cell>
          <cell r="D320">
            <v>95</v>
          </cell>
          <cell r="E320" t="str">
            <v>Rmt</v>
          </cell>
          <cell r="F320" t="str">
            <v>2/04-GRS303/97</v>
          </cell>
          <cell r="G320">
            <v>105.925</v>
          </cell>
          <cell r="H320">
            <v>105.925</v>
          </cell>
          <cell r="I320">
            <v>118.75</v>
          </cell>
          <cell r="J320">
            <v>99.75</v>
          </cell>
          <cell r="K320">
            <v>102.60000000000001</v>
          </cell>
          <cell r="L320">
            <v>99.75</v>
          </cell>
          <cell r="M320">
            <v>118.75</v>
          </cell>
          <cell r="N320">
            <v>148.4375</v>
          </cell>
          <cell r="O320">
            <v>124.6875</v>
          </cell>
        </row>
        <row r="321">
          <cell r="C321" t="str">
            <v>H CI Tee 3" dia</v>
          </cell>
          <cell r="D321">
            <v>102</v>
          </cell>
          <cell r="E321" t="str">
            <v>Rmt</v>
          </cell>
          <cell r="F321" t="str">
            <v>2/04-GRS219/72</v>
          </cell>
          <cell r="G321">
            <v>113.73</v>
          </cell>
          <cell r="H321">
            <v>113.73</v>
          </cell>
          <cell r="I321">
            <v>127.5</v>
          </cell>
          <cell r="J321">
            <v>107.10000000000001</v>
          </cell>
          <cell r="K321">
            <v>110.16000000000001</v>
          </cell>
          <cell r="L321">
            <v>107.10000000000001</v>
          </cell>
          <cell r="M321">
            <v>127.5</v>
          </cell>
          <cell r="N321">
            <v>159.375</v>
          </cell>
          <cell r="O321">
            <v>133.875</v>
          </cell>
        </row>
        <row r="322">
          <cell r="C322" t="str">
            <v>H CI Tee 4" dia</v>
          </cell>
          <cell r="D322">
            <v>155</v>
          </cell>
          <cell r="E322" t="str">
            <v>Rmt</v>
          </cell>
          <cell r="F322" t="str">
            <v>2/04-GRS267/09</v>
          </cell>
          <cell r="G322">
            <v>172.82499999999999</v>
          </cell>
          <cell r="H322">
            <v>172.82499999999999</v>
          </cell>
          <cell r="I322">
            <v>193.75</v>
          </cell>
          <cell r="J322">
            <v>162.75</v>
          </cell>
          <cell r="K322">
            <v>167.4</v>
          </cell>
          <cell r="L322">
            <v>162.75</v>
          </cell>
          <cell r="M322">
            <v>193.75</v>
          </cell>
          <cell r="N322">
            <v>242.1875</v>
          </cell>
          <cell r="O322">
            <v>203.4375</v>
          </cell>
        </row>
        <row r="323">
          <cell r="C323" t="str">
            <v>HCI Cowl 3 " dia</v>
          </cell>
          <cell r="E323" t="str">
            <v>Rmt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HCI Cowl 2 " dia</v>
          </cell>
          <cell r="E324" t="str">
            <v>Rmt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HCI Cowl 4 " dia</v>
          </cell>
          <cell r="E325" t="str">
            <v>Rmt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Mirror 453x357 mm</v>
          </cell>
          <cell r="D326">
            <v>275</v>
          </cell>
          <cell r="E326" t="str">
            <v>Nos</v>
          </cell>
          <cell r="G326">
            <v>306.625</v>
          </cell>
          <cell r="H326">
            <v>306.625</v>
          </cell>
          <cell r="I326">
            <v>343.75</v>
          </cell>
          <cell r="J326">
            <v>288.75</v>
          </cell>
          <cell r="K326">
            <v>297</v>
          </cell>
          <cell r="L326">
            <v>288.75</v>
          </cell>
          <cell r="M326">
            <v>343.75</v>
          </cell>
          <cell r="N326">
            <v>429.6875</v>
          </cell>
          <cell r="O326">
            <v>360.9375</v>
          </cell>
        </row>
        <row r="327">
          <cell r="C327" t="str">
            <v>Hard board</v>
          </cell>
          <cell r="E327" t="str">
            <v>Sqm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Raw plug  40 to 50 mm</v>
          </cell>
          <cell r="E328" t="str">
            <v>Cent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CP brass screws and washers</v>
          </cell>
          <cell r="E329" t="str">
            <v>Cent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Urinal Pan 430mm X 260mmX350mm</v>
          </cell>
          <cell r="D330">
            <v>730</v>
          </cell>
          <cell r="E330" t="str">
            <v>Rmt</v>
          </cell>
          <cell r="G330">
            <v>813.95</v>
          </cell>
          <cell r="H330">
            <v>813.95</v>
          </cell>
          <cell r="I330">
            <v>912.5</v>
          </cell>
          <cell r="J330">
            <v>766.5</v>
          </cell>
          <cell r="K330">
            <v>788.40000000000009</v>
          </cell>
          <cell r="L330">
            <v>766.5</v>
          </cell>
          <cell r="M330">
            <v>912.5</v>
          </cell>
          <cell r="N330">
            <v>1140.625</v>
          </cell>
          <cell r="O330">
            <v>958.125</v>
          </cell>
        </row>
        <row r="331">
          <cell r="C331" t="str">
            <v>Automatic flushing cistern</v>
          </cell>
          <cell r="D331">
            <v>975</v>
          </cell>
          <cell r="E331" t="str">
            <v>Each</v>
          </cell>
          <cell r="G331">
            <v>1087.125</v>
          </cell>
          <cell r="H331">
            <v>1087.125</v>
          </cell>
          <cell r="I331">
            <v>1218.75</v>
          </cell>
          <cell r="J331">
            <v>1023.75</v>
          </cell>
          <cell r="K331">
            <v>1053</v>
          </cell>
          <cell r="L331">
            <v>1023.75</v>
          </cell>
          <cell r="M331">
            <v>1218.75</v>
          </cell>
          <cell r="N331">
            <v>1523.4375</v>
          </cell>
          <cell r="O331">
            <v>1279.6875</v>
          </cell>
        </row>
        <row r="332">
          <cell r="C332" t="str">
            <v>Squatting pan</v>
          </cell>
          <cell r="D332">
            <v>580</v>
          </cell>
          <cell r="E332" t="str">
            <v>Nos.</v>
          </cell>
          <cell r="G332">
            <v>646.70000000000005</v>
          </cell>
          <cell r="H332">
            <v>646.70000000000005</v>
          </cell>
          <cell r="I332">
            <v>725</v>
          </cell>
          <cell r="J332">
            <v>609</v>
          </cell>
          <cell r="K332">
            <v>626.40000000000009</v>
          </cell>
          <cell r="L332">
            <v>609</v>
          </cell>
          <cell r="M332">
            <v>725</v>
          </cell>
          <cell r="N332">
            <v>906.25</v>
          </cell>
          <cell r="O332">
            <v>761.25</v>
          </cell>
        </row>
        <row r="333">
          <cell r="C333" t="str">
            <v>Wash Basin 550 X 400 mm</v>
          </cell>
          <cell r="D333">
            <v>590</v>
          </cell>
          <cell r="E333" t="str">
            <v>Nos.</v>
          </cell>
          <cell r="G333">
            <v>657.85</v>
          </cell>
          <cell r="H333">
            <v>657.85</v>
          </cell>
          <cell r="I333">
            <v>737.5</v>
          </cell>
          <cell r="J333">
            <v>619.5</v>
          </cell>
          <cell r="K333">
            <v>637.20000000000005</v>
          </cell>
          <cell r="L333">
            <v>619.5</v>
          </cell>
          <cell r="M333">
            <v>737.5</v>
          </cell>
          <cell r="N333">
            <v>921.875</v>
          </cell>
          <cell r="O333">
            <v>774.375</v>
          </cell>
        </row>
        <row r="334">
          <cell r="C334" t="str">
            <v>Wash Basin 630 X 450 mm</v>
          </cell>
          <cell r="D334">
            <v>780</v>
          </cell>
          <cell r="E334" t="str">
            <v>Nos.</v>
          </cell>
          <cell r="G334">
            <v>869.7</v>
          </cell>
          <cell r="H334">
            <v>869.7</v>
          </cell>
          <cell r="I334">
            <v>975</v>
          </cell>
          <cell r="J334">
            <v>819</v>
          </cell>
          <cell r="K334">
            <v>842.40000000000009</v>
          </cell>
          <cell r="L334">
            <v>819</v>
          </cell>
          <cell r="M334">
            <v>975</v>
          </cell>
          <cell r="N334">
            <v>1218.75</v>
          </cell>
          <cell r="O334">
            <v>1023.75</v>
          </cell>
        </row>
        <row r="335">
          <cell r="C335" t="str">
            <v>15 mm CP brass pillar taps</v>
          </cell>
          <cell r="D335">
            <v>110</v>
          </cell>
          <cell r="E335" t="str">
            <v>Nos</v>
          </cell>
          <cell r="G335">
            <v>122.65</v>
          </cell>
          <cell r="H335">
            <v>122.65</v>
          </cell>
          <cell r="I335">
            <v>137.5</v>
          </cell>
          <cell r="J335">
            <v>115.5</v>
          </cell>
          <cell r="K335">
            <v>118.80000000000001</v>
          </cell>
          <cell r="L335">
            <v>115.5</v>
          </cell>
          <cell r="M335">
            <v>137.5</v>
          </cell>
          <cell r="N335">
            <v>171.875</v>
          </cell>
          <cell r="O335">
            <v>144.375</v>
          </cell>
        </row>
        <row r="336">
          <cell r="C336" t="str">
            <v>15 mm dia CP brass waste</v>
          </cell>
          <cell r="D336">
            <v>72</v>
          </cell>
          <cell r="E336" t="str">
            <v>Nos</v>
          </cell>
          <cell r="G336">
            <v>80.28</v>
          </cell>
          <cell r="H336">
            <v>80.28</v>
          </cell>
          <cell r="I336">
            <v>90</v>
          </cell>
          <cell r="J336">
            <v>75.600000000000009</v>
          </cell>
          <cell r="K336">
            <v>77.760000000000005</v>
          </cell>
          <cell r="L336">
            <v>75.600000000000009</v>
          </cell>
          <cell r="M336">
            <v>90</v>
          </cell>
          <cell r="N336">
            <v>112.5</v>
          </cell>
          <cell r="O336">
            <v>94.500000000000014</v>
          </cell>
        </row>
        <row r="337">
          <cell r="C337" t="str">
            <v>White glazed kitchen sink 660x450x250 mm</v>
          </cell>
          <cell r="D337">
            <v>890</v>
          </cell>
          <cell r="E337" t="str">
            <v>Nos</v>
          </cell>
          <cell r="G337">
            <v>992.35</v>
          </cell>
          <cell r="H337">
            <v>992.35</v>
          </cell>
          <cell r="I337">
            <v>1112.5</v>
          </cell>
          <cell r="J337">
            <v>934.5</v>
          </cell>
          <cell r="K337">
            <v>961.2</v>
          </cell>
          <cell r="L337">
            <v>934.5</v>
          </cell>
          <cell r="M337">
            <v>1112.5</v>
          </cell>
          <cell r="N337">
            <v>1390.625</v>
          </cell>
          <cell r="O337">
            <v>1168.125</v>
          </cell>
        </row>
        <row r="338">
          <cell r="C338" t="str">
            <v>Stainless steel kitchen sink with drain board</v>
          </cell>
          <cell r="D338">
            <v>1450</v>
          </cell>
          <cell r="E338" t="str">
            <v>Nos</v>
          </cell>
          <cell r="G338">
            <v>1616.75</v>
          </cell>
          <cell r="H338">
            <v>1616.75</v>
          </cell>
          <cell r="I338">
            <v>1812.5</v>
          </cell>
          <cell r="J338">
            <v>1522.5</v>
          </cell>
          <cell r="K338">
            <v>1566</v>
          </cell>
          <cell r="L338">
            <v>1522.5</v>
          </cell>
          <cell r="M338">
            <v>1812.5</v>
          </cell>
          <cell r="N338">
            <v>2265.625</v>
          </cell>
          <cell r="O338">
            <v>1903.125</v>
          </cell>
        </row>
        <row r="339">
          <cell r="C339" t="str">
            <v>CP brass chain with 40 mm rubber plug</v>
          </cell>
          <cell r="D339">
            <v>28</v>
          </cell>
          <cell r="E339" t="str">
            <v>Nos</v>
          </cell>
          <cell r="G339">
            <v>31.22</v>
          </cell>
          <cell r="H339">
            <v>31.22</v>
          </cell>
          <cell r="I339">
            <v>35</v>
          </cell>
          <cell r="J339">
            <v>29.400000000000002</v>
          </cell>
          <cell r="K339">
            <v>30.240000000000002</v>
          </cell>
          <cell r="L339">
            <v>29.400000000000002</v>
          </cell>
          <cell r="M339">
            <v>35</v>
          </cell>
          <cell r="N339">
            <v>43.75</v>
          </cell>
          <cell r="O339">
            <v>36.75</v>
          </cell>
        </row>
        <row r="340">
          <cell r="C340" t="str">
            <v>40 mm CP brass waste</v>
          </cell>
          <cell r="D340">
            <v>125</v>
          </cell>
          <cell r="E340" t="str">
            <v>Nos</v>
          </cell>
          <cell r="G340">
            <v>139.375</v>
          </cell>
          <cell r="H340">
            <v>139.375</v>
          </cell>
          <cell r="I340">
            <v>156.25</v>
          </cell>
          <cell r="J340">
            <v>131.25</v>
          </cell>
          <cell r="K340">
            <v>135</v>
          </cell>
          <cell r="L340">
            <v>131.25</v>
          </cell>
          <cell r="M340">
            <v>156.25</v>
          </cell>
          <cell r="N340">
            <v>195.3125</v>
          </cell>
          <cell r="O340">
            <v>164.0625</v>
          </cell>
        </row>
        <row r="341">
          <cell r="C341" t="str">
            <v>Indian type water closet</v>
          </cell>
          <cell r="D341">
            <v>298</v>
          </cell>
          <cell r="E341" t="str">
            <v>Nos.</v>
          </cell>
          <cell r="G341">
            <v>332.27</v>
          </cell>
          <cell r="H341">
            <v>332.27</v>
          </cell>
          <cell r="I341">
            <v>372.5</v>
          </cell>
          <cell r="J341">
            <v>312.90000000000003</v>
          </cell>
          <cell r="K341">
            <v>321.84000000000003</v>
          </cell>
          <cell r="L341">
            <v>312.90000000000003</v>
          </cell>
          <cell r="M341">
            <v>372.5</v>
          </cell>
          <cell r="N341">
            <v>465.625</v>
          </cell>
          <cell r="O341">
            <v>391.12500000000006</v>
          </cell>
        </row>
        <row r="342">
          <cell r="C342" t="str">
            <v>WC European Type with cistern</v>
          </cell>
          <cell r="D342">
            <v>1088</v>
          </cell>
          <cell r="E342" t="str">
            <v>Nos.</v>
          </cell>
          <cell r="G342">
            <v>1213.1199999999999</v>
          </cell>
          <cell r="H342">
            <v>1213.1199999999999</v>
          </cell>
          <cell r="I342">
            <v>1360</v>
          </cell>
          <cell r="J342">
            <v>1142.4000000000001</v>
          </cell>
          <cell r="K342">
            <v>1175.04</v>
          </cell>
          <cell r="L342">
            <v>1142.4000000000001</v>
          </cell>
          <cell r="M342">
            <v>1360</v>
          </cell>
          <cell r="N342">
            <v>1700</v>
          </cell>
          <cell r="O342">
            <v>1428</v>
          </cell>
        </row>
        <row r="343">
          <cell r="C343" t="str">
            <v>White solid plastic seat and lid.</v>
          </cell>
          <cell r="D343">
            <v>235</v>
          </cell>
          <cell r="E343" t="str">
            <v>Nos.</v>
          </cell>
          <cell r="G343">
            <v>262.02499999999998</v>
          </cell>
          <cell r="H343">
            <v>262.02499999999998</v>
          </cell>
          <cell r="I343">
            <v>293.75</v>
          </cell>
          <cell r="J343">
            <v>246.75</v>
          </cell>
          <cell r="K343">
            <v>253.8</v>
          </cell>
          <cell r="L343">
            <v>246.75</v>
          </cell>
          <cell r="M343">
            <v>293.75</v>
          </cell>
          <cell r="N343">
            <v>367.1875</v>
          </cell>
          <cell r="O343">
            <v>308.4375</v>
          </cell>
        </row>
        <row r="344">
          <cell r="C344" t="str">
            <v>WC Indian Type  580 mm with all fittings</v>
          </cell>
          <cell r="D344">
            <v>688</v>
          </cell>
          <cell r="E344" t="str">
            <v>Nos.</v>
          </cell>
          <cell r="G344">
            <v>767.12</v>
          </cell>
          <cell r="H344">
            <v>767.12</v>
          </cell>
          <cell r="I344">
            <v>860</v>
          </cell>
          <cell r="J344">
            <v>722.4</v>
          </cell>
          <cell r="K344">
            <v>743.04000000000008</v>
          </cell>
          <cell r="L344">
            <v>722.4</v>
          </cell>
          <cell r="M344">
            <v>860</v>
          </cell>
          <cell r="N344">
            <v>1075</v>
          </cell>
          <cell r="O344">
            <v>903</v>
          </cell>
        </row>
        <row r="345">
          <cell r="C345" t="str">
            <v>Flush Pipe</v>
          </cell>
          <cell r="D345">
            <v>125</v>
          </cell>
          <cell r="E345" t="str">
            <v>Nos.</v>
          </cell>
          <cell r="G345">
            <v>139.375</v>
          </cell>
          <cell r="H345">
            <v>139.375</v>
          </cell>
          <cell r="I345">
            <v>156.25</v>
          </cell>
          <cell r="J345">
            <v>131.25</v>
          </cell>
          <cell r="K345">
            <v>135</v>
          </cell>
          <cell r="L345">
            <v>131.25</v>
          </cell>
          <cell r="M345">
            <v>156.25</v>
          </cell>
          <cell r="N345">
            <v>195.3125</v>
          </cell>
          <cell r="O345">
            <v>164.0625</v>
          </cell>
        </row>
        <row r="346">
          <cell r="C346" t="str">
            <v>MS holdar bat clamp 21</v>
          </cell>
          <cell r="D346">
            <v>35</v>
          </cell>
          <cell r="E346" t="str">
            <v>Pair</v>
          </cell>
          <cell r="G346">
            <v>39.024999999999999</v>
          </cell>
          <cell r="H346">
            <v>39.024999999999999</v>
          </cell>
          <cell r="I346">
            <v>43.75</v>
          </cell>
          <cell r="J346">
            <v>36.75</v>
          </cell>
          <cell r="K346">
            <v>37.800000000000004</v>
          </cell>
          <cell r="L346">
            <v>36.75</v>
          </cell>
          <cell r="M346">
            <v>43.75</v>
          </cell>
          <cell r="N346">
            <v>54.6875</v>
          </cell>
          <cell r="O346">
            <v>45.9375</v>
          </cell>
        </row>
        <row r="347">
          <cell r="C347" t="str">
            <v>MS holdar bat clamp 32</v>
          </cell>
          <cell r="D347">
            <v>38</v>
          </cell>
          <cell r="E347" t="str">
            <v>Pair</v>
          </cell>
          <cell r="G347">
            <v>42.37</v>
          </cell>
          <cell r="H347">
            <v>42.37</v>
          </cell>
          <cell r="I347">
            <v>47.5</v>
          </cell>
          <cell r="J347">
            <v>39.9</v>
          </cell>
          <cell r="K347">
            <v>41.040000000000006</v>
          </cell>
          <cell r="L347">
            <v>39.9</v>
          </cell>
          <cell r="M347">
            <v>47.5</v>
          </cell>
          <cell r="N347">
            <v>59.375</v>
          </cell>
          <cell r="O347">
            <v>49.875</v>
          </cell>
        </row>
        <row r="348">
          <cell r="C348" t="str">
            <v>MS Bracket for flushing cistern</v>
          </cell>
          <cell r="D348">
            <v>75</v>
          </cell>
          <cell r="E348" t="str">
            <v>Pair</v>
          </cell>
          <cell r="G348">
            <v>83.625</v>
          </cell>
          <cell r="H348">
            <v>83.625</v>
          </cell>
          <cell r="I348">
            <v>93.75</v>
          </cell>
          <cell r="J348">
            <v>78.75</v>
          </cell>
          <cell r="K348">
            <v>81</v>
          </cell>
          <cell r="L348">
            <v>78.75</v>
          </cell>
          <cell r="M348">
            <v>93.75</v>
          </cell>
          <cell r="N348">
            <v>117.1875</v>
          </cell>
          <cell r="O348">
            <v>98.4375</v>
          </cell>
        </row>
        <row r="349">
          <cell r="C349" t="str">
            <v>CI bracket</v>
          </cell>
          <cell r="D349">
            <v>70</v>
          </cell>
          <cell r="E349" t="str">
            <v>Pair</v>
          </cell>
          <cell r="G349">
            <v>78.05</v>
          </cell>
          <cell r="H349">
            <v>78.05</v>
          </cell>
          <cell r="I349">
            <v>87.5</v>
          </cell>
          <cell r="J349">
            <v>73.5</v>
          </cell>
          <cell r="K349">
            <v>75.600000000000009</v>
          </cell>
          <cell r="L349">
            <v>73.5</v>
          </cell>
          <cell r="M349">
            <v>87.5</v>
          </cell>
          <cell r="N349">
            <v>109.375</v>
          </cell>
          <cell r="O349">
            <v>91.875</v>
          </cell>
        </row>
        <row r="350">
          <cell r="C350" t="str">
            <v>Mosquito proof coupling 25mmdia</v>
          </cell>
          <cell r="E350" t="str">
            <v>Nos.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P or "S" trap 100mm</v>
          </cell>
          <cell r="D351">
            <v>72</v>
          </cell>
          <cell r="E351" t="str">
            <v>Nos.</v>
          </cell>
          <cell r="G351">
            <v>80.28</v>
          </cell>
          <cell r="H351">
            <v>80.28</v>
          </cell>
          <cell r="I351">
            <v>90</v>
          </cell>
          <cell r="J351">
            <v>75.600000000000009</v>
          </cell>
          <cell r="K351">
            <v>77.760000000000005</v>
          </cell>
          <cell r="L351">
            <v>75.600000000000009</v>
          </cell>
          <cell r="M351">
            <v>90</v>
          </cell>
          <cell r="N351">
            <v>112.5</v>
          </cell>
          <cell r="O351">
            <v>94.500000000000014</v>
          </cell>
        </row>
        <row r="352">
          <cell r="C352" t="str">
            <v>PVC tank 1000 lit cap</v>
          </cell>
          <cell r="D352">
            <v>4.25</v>
          </cell>
          <cell r="E352" t="str">
            <v>Ltr</v>
          </cell>
          <cell r="G352">
            <v>4.7387499999999996</v>
          </cell>
          <cell r="H352">
            <v>4.7387499999999996</v>
          </cell>
          <cell r="I352">
            <v>5.3125</v>
          </cell>
          <cell r="J352">
            <v>4.4625000000000004</v>
          </cell>
          <cell r="K352">
            <v>4.59</v>
          </cell>
          <cell r="L352">
            <v>4.4625000000000004</v>
          </cell>
          <cell r="M352">
            <v>5.3125</v>
          </cell>
          <cell r="N352">
            <v>6.640625</v>
          </cell>
          <cell r="O352">
            <v>5.578125</v>
          </cell>
        </row>
        <row r="353">
          <cell r="C353" t="str">
            <v>PVC tank 500 lit cap</v>
          </cell>
          <cell r="D353">
            <v>4.25</v>
          </cell>
          <cell r="E353" t="str">
            <v>Ltr</v>
          </cell>
          <cell r="G353">
            <v>4.7387499999999996</v>
          </cell>
          <cell r="H353">
            <v>4.7387499999999996</v>
          </cell>
          <cell r="I353">
            <v>5.3125</v>
          </cell>
          <cell r="J353">
            <v>4.4625000000000004</v>
          </cell>
          <cell r="K353">
            <v>4.59</v>
          </cell>
          <cell r="L353">
            <v>4.4625000000000004</v>
          </cell>
          <cell r="M353">
            <v>5.3125</v>
          </cell>
          <cell r="N353">
            <v>6.640625</v>
          </cell>
          <cell r="O353">
            <v>5.578125</v>
          </cell>
        </row>
        <row r="354">
          <cell r="C354" t="str">
            <v>PVC DOOR</v>
          </cell>
          <cell r="D354">
            <v>1590</v>
          </cell>
          <cell r="E354" t="str">
            <v>Sqm</v>
          </cell>
          <cell r="G354">
            <v>1772.85</v>
          </cell>
          <cell r="H354">
            <v>78.128049999999988</v>
          </cell>
          <cell r="I354">
            <v>1987.5</v>
          </cell>
          <cell r="J354">
            <v>1669.5</v>
          </cell>
          <cell r="K354">
            <v>1717.2</v>
          </cell>
          <cell r="L354">
            <v>1669.5</v>
          </cell>
          <cell r="M354">
            <v>1987.5</v>
          </cell>
          <cell r="N354">
            <v>2484.375</v>
          </cell>
          <cell r="O354">
            <v>2086.875</v>
          </cell>
        </row>
        <row r="355">
          <cell r="C355" t="str">
            <v>Glass Pane 3 mm thick</v>
          </cell>
          <cell r="D355">
            <v>199</v>
          </cell>
          <cell r="E355" t="str">
            <v>Sqm</v>
          </cell>
          <cell r="G355">
            <v>221.88499999999999</v>
          </cell>
          <cell r="H355">
            <v>221.88499999999999</v>
          </cell>
          <cell r="I355">
            <v>248.75</v>
          </cell>
          <cell r="J355">
            <v>208.95000000000002</v>
          </cell>
          <cell r="K355">
            <v>214.92000000000002</v>
          </cell>
          <cell r="L355">
            <v>208.95000000000002</v>
          </cell>
          <cell r="M355">
            <v>248.75</v>
          </cell>
          <cell r="N355">
            <v>310.9375</v>
          </cell>
          <cell r="O355">
            <v>261.1875</v>
          </cell>
        </row>
        <row r="356">
          <cell r="C356" t="str">
            <v>Glass Pane 4 mm thick</v>
          </cell>
          <cell r="D356">
            <v>325</v>
          </cell>
          <cell r="E356" t="str">
            <v>Sqm</v>
          </cell>
          <cell r="G356">
            <v>362.375</v>
          </cell>
          <cell r="H356">
            <v>362.375</v>
          </cell>
          <cell r="I356">
            <v>406.25</v>
          </cell>
          <cell r="J356">
            <v>341.25</v>
          </cell>
          <cell r="K356">
            <v>351</v>
          </cell>
          <cell r="L356">
            <v>341.25</v>
          </cell>
          <cell r="M356">
            <v>406.25</v>
          </cell>
          <cell r="N356">
            <v>507.8125</v>
          </cell>
          <cell r="O356">
            <v>426.5625</v>
          </cell>
        </row>
        <row r="357">
          <cell r="C357" t="str">
            <v>Glass Pane 5.5 mm thick</v>
          </cell>
          <cell r="D357">
            <v>466</v>
          </cell>
          <cell r="E357" t="str">
            <v>Sqm</v>
          </cell>
          <cell r="G357">
            <v>519.59</v>
          </cell>
          <cell r="H357">
            <v>519.59</v>
          </cell>
          <cell r="I357">
            <v>582.5</v>
          </cell>
          <cell r="J357">
            <v>489.3</v>
          </cell>
          <cell r="K357">
            <v>503.28000000000003</v>
          </cell>
          <cell r="L357">
            <v>489.3</v>
          </cell>
          <cell r="M357">
            <v>582.5</v>
          </cell>
          <cell r="N357">
            <v>728.125</v>
          </cell>
          <cell r="O357">
            <v>611.625</v>
          </cell>
        </row>
        <row r="358">
          <cell r="C358" t="str">
            <v xml:space="preserve">Neoprene/PVC gasket </v>
          </cell>
          <cell r="D358">
            <v>24</v>
          </cell>
          <cell r="E358" t="str">
            <v>Mtrs</v>
          </cell>
          <cell r="G358">
            <v>26.759999999999998</v>
          </cell>
          <cell r="H358">
            <v>26.759999999999998</v>
          </cell>
          <cell r="I358">
            <v>30</v>
          </cell>
          <cell r="J358">
            <v>25.200000000000003</v>
          </cell>
          <cell r="K358">
            <v>25.92</v>
          </cell>
          <cell r="L358">
            <v>25.200000000000003</v>
          </cell>
          <cell r="M358">
            <v>30</v>
          </cell>
          <cell r="N358">
            <v>37.5</v>
          </cell>
          <cell r="O358">
            <v>31.500000000000004</v>
          </cell>
        </row>
        <row r="359">
          <cell r="C359" t="str">
            <v>Tower Bolt Aluminium 15 Cm</v>
          </cell>
          <cell r="D359">
            <v>24</v>
          </cell>
          <cell r="E359" t="str">
            <v>Nos.</v>
          </cell>
          <cell r="G359">
            <v>26.759999999999998</v>
          </cell>
          <cell r="H359">
            <v>26.202500000000001</v>
          </cell>
          <cell r="I359">
            <v>30</v>
          </cell>
          <cell r="J359">
            <v>25.200000000000003</v>
          </cell>
          <cell r="K359">
            <v>25.92</v>
          </cell>
          <cell r="L359">
            <v>25.200000000000003</v>
          </cell>
          <cell r="M359">
            <v>30</v>
          </cell>
          <cell r="N359">
            <v>37.5</v>
          </cell>
          <cell r="O359">
            <v>31.500000000000004</v>
          </cell>
        </row>
        <row r="360">
          <cell r="C360" t="str">
            <v>Tower Bolt Aluminium 20 Cm</v>
          </cell>
          <cell r="D360">
            <v>28</v>
          </cell>
          <cell r="E360" t="str">
            <v>Nos.</v>
          </cell>
          <cell r="G360">
            <v>31.22</v>
          </cell>
          <cell r="H360">
            <v>31.22</v>
          </cell>
          <cell r="I360">
            <v>35</v>
          </cell>
          <cell r="J360">
            <v>29.400000000000002</v>
          </cell>
          <cell r="K360">
            <v>30.240000000000002</v>
          </cell>
          <cell r="L360">
            <v>29.400000000000002</v>
          </cell>
          <cell r="M360">
            <v>35</v>
          </cell>
          <cell r="N360">
            <v>43.75</v>
          </cell>
          <cell r="O360">
            <v>36.75</v>
          </cell>
        </row>
        <row r="361">
          <cell r="C361" t="str">
            <v>Dash Hold fastener</v>
          </cell>
          <cell r="D361">
            <v>39</v>
          </cell>
          <cell r="E361" t="str">
            <v>Nos.</v>
          </cell>
          <cell r="G361">
            <v>43.484999999999999</v>
          </cell>
          <cell r="H361">
            <v>0</v>
          </cell>
          <cell r="I361">
            <v>48.75</v>
          </cell>
          <cell r="J361">
            <v>40.950000000000003</v>
          </cell>
          <cell r="K361">
            <v>42.120000000000005</v>
          </cell>
          <cell r="L361">
            <v>40.950000000000003</v>
          </cell>
          <cell r="M361">
            <v>48.75</v>
          </cell>
          <cell r="N361">
            <v>60.9375</v>
          </cell>
          <cell r="O361">
            <v>51.1875</v>
          </cell>
        </row>
        <row r="362">
          <cell r="C362" t="str">
            <v>Brass door stopper</v>
          </cell>
          <cell r="D362">
            <v>42</v>
          </cell>
          <cell r="E362" t="str">
            <v>Nos.</v>
          </cell>
          <cell r="G362">
            <v>46.83</v>
          </cell>
          <cell r="H362">
            <v>46.83</v>
          </cell>
          <cell r="I362">
            <v>52.5</v>
          </cell>
          <cell r="J362">
            <v>44.1</v>
          </cell>
          <cell r="K362">
            <v>45.36</v>
          </cell>
          <cell r="L362">
            <v>44.1</v>
          </cell>
          <cell r="M362">
            <v>52.5</v>
          </cell>
          <cell r="N362">
            <v>65.625</v>
          </cell>
          <cell r="O362">
            <v>55.125</v>
          </cell>
        </row>
        <row r="363">
          <cell r="C363" t="str">
            <v>M.S.Door latch 300mm</v>
          </cell>
          <cell r="D363">
            <v>135</v>
          </cell>
          <cell r="E363" t="str">
            <v>Nos</v>
          </cell>
          <cell r="G363">
            <v>150.52500000000001</v>
          </cell>
          <cell r="H363">
            <v>150.52500000000001</v>
          </cell>
          <cell r="I363">
            <v>168.75</v>
          </cell>
          <cell r="J363">
            <v>141.75</v>
          </cell>
          <cell r="K363">
            <v>145.80000000000001</v>
          </cell>
          <cell r="L363">
            <v>141.75</v>
          </cell>
          <cell r="M363">
            <v>168.75</v>
          </cell>
          <cell r="N363">
            <v>210.9375</v>
          </cell>
          <cell r="O363">
            <v>177.1875</v>
          </cell>
        </row>
        <row r="364">
          <cell r="C364" t="str">
            <v>Sliding Bolt Aluminium 300 x 16 mm</v>
          </cell>
          <cell r="D364">
            <v>112</v>
          </cell>
          <cell r="E364" t="str">
            <v>Nos.</v>
          </cell>
          <cell r="G364">
            <v>124.88</v>
          </cell>
          <cell r="H364">
            <v>124.88</v>
          </cell>
          <cell r="I364">
            <v>140</v>
          </cell>
          <cell r="J364">
            <v>117.60000000000001</v>
          </cell>
          <cell r="K364">
            <v>120.96000000000001</v>
          </cell>
          <cell r="L364">
            <v>117.60000000000001</v>
          </cell>
          <cell r="M364">
            <v>140</v>
          </cell>
          <cell r="N364">
            <v>175</v>
          </cell>
          <cell r="O364">
            <v>147</v>
          </cell>
        </row>
        <row r="365">
          <cell r="C365" t="str">
            <v>Tower Bolt Aluminium 10 Cm</v>
          </cell>
          <cell r="D365">
            <v>17</v>
          </cell>
          <cell r="E365" t="str">
            <v>Nos.</v>
          </cell>
          <cell r="G365">
            <v>18.954999999999998</v>
          </cell>
          <cell r="H365">
            <v>18.954999999999998</v>
          </cell>
          <cell r="I365">
            <v>21.25</v>
          </cell>
          <cell r="J365">
            <v>17.850000000000001</v>
          </cell>
          <cell r="K365">
            <v>18.36</v>
          </cell>
          <cell r="L365">
            <v>17.850000000000001</v>
          </cell>
          <cell r="M365">
            <v>21.25</v>
          </cell>
          <cell r="N365">
            <v>26.5625</v>
          </cell>
          <cell r="O365">
            <v>22.3125</v>
          </cell>
        </row>
        <row r="366">
          <cell r="C366" t="str">
            <v>Tower Bolt Aluminium 15 Cm</v>
          </cell>
          <cell r="D366">
            <v>24</v>
          </cell>
          <cell r="E366" t="str">
            <v>Nos.</v>
          </cell>
          <cell r="G366">
            <v>26.759999999999998</v>
          </cell>
          <cell r="H366">
            <v>26.76</v>
          </cell>
          <cell r="I366">
            <v>30</v>
          </cell>
          <cell r="J366">
            <v>25.200000000000003</v>
          </cell>
          <cell r="K366">
            <v>25.92</v>
          </cell>
          <cell r="L366">
            <v>25.200000000000003</v>
          </cell>
          <cell r="M366">
            <v>30</v>
          </cell>
          <cell r="N366">
            <v>37.5</v>
          </cell>
          <cell r="O366">
            <v>31.500000000000004</v>
          </cell>
        </row>
        <row r="367">
          <cell r="C367" t="str">
            <v>Tower Bolt Aluminium 20 Cm</v>
          </cell>
          <cell r="D367">
            <v>33</v>
          </cell>
          <cell r="E367" t="str">
            <v>Nos.</v>
          </cell>
          <cell r="G367">
            <v>36.795000000000002</v>
          </cell>
          <cell r="H367">
            <v>36.795000000000002</v>
          </cell>
          <cell r="I367">
            <v>41.25</v>
          </cell>
          <cell r="J367">
            <v>34.65</v>
          </cell>
          <cell r="K367">
            <v>35.64</v>
          </cell>
          <cell r="L367">
            <v>34.65</v>
          </cell>
          <cell r="M367">
            <v>41.25</v>
          </cell>
          <cell r="N367">
            <v>51.5625</v>
          </cell>
          <cell r="O367">
            <v>43.3125</v>
          </cell>
        </row>
        <row r="368">
          <cell r="C368" t="str">
            <v>Aluminium Channel</v>
          </cell>
          <cell r="D368">
            <v>255</v>
          </cell>
          <cell r="E368" t="str">
            <v>Kgs</v>
          </cell>
          <cell r="G368">
            <v>284.32499999999999</v>
          </cell>
          <cell r="H368">
            <v>284.32499999999999</v>
          </cell>
          <cell r="I368">
            <v>318.75</v>
          </cell>
          <cell r="J368">
            <v>267.75</v>
          </cell>
          <cell r="K368">
            <v>275.40000000000003</v>
          </cell>
          <cell r="L368">
            <v>267.75</v>
          </cell>
          <cell r="M368">
            <v>318.75</v>
          </cell>
          <cell r="N368">
            <v>398.4375</v>
          </cell>
          <cell r="O368">
            <v>334.6875</v>
          </cell>
        </row>
        <row r="369">
          <cell r="C369" t="str">
            <v>Raw plugs</v>
          </cell>
          <cell r="D369">
            <v>15</v>
          </cell>
          <cell r="E369" t="str">
            <v>Pkt</v>
          </cell>
          <cell r="G369">
            <v>16.725000000000001</v>
          </cell>
          <cell r="H369">
            <v>16.725000000000001</v>
          </cell>
          <cell r="I369">
            <v>18.75</v>
          </cell>
          <cell r="J369">
            <v>15.75</v>
          </cell>
          <cell r="K369">
            <v>16.200000000000003</v>
          </cell>
          <cell r="L369">
            <v>15.75</v>
          </cell>
          <cell r="M369">
            <v>18.75</v>
          </cell>
          <cell r="N369">
            <v>23.4375</v>
          </cell>
          <cell r="O369">
            <v>19.6875</v>
          </cell>
        </row>
        <row r="370">
          <cell r="C370" t="str">
            <v>Anodising 15 micron</v>
          </cell>
          <cell r="E370" t="str">
            <v>Kg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CP Brass screws 20mm</v>
          </cell>
          <cell r="D371">
            <v>58</v>
          </cell>
          <cell r="E371" t="str">
            <v>Cent</v>
          </cell>
          <cell r="G371">
            <v>64.67</v>
          </cell>
          <cell r="H371">
            <v>64.67</v>
          </cell>
          <cell r="I371">
            <v>72.5</v>
          </cell>
          <cell r="J371">
            <v>60.900000000000006</v>
          </cell>
          <cell r="K371">
            <v>62.64</v>
          </cell>
          <cell r="L371">
            <v>60.900000000000006</v>
          </cell>
          <cell r="M371">
            <v>72.5</v>
          </cell>
          <cell r="N371">
            <v>90.625</v>
          </cell>
          <cell r="O371">
            <v>76.125</v>
          </cell>
        </row>
        <row r="372">
          <cell r="C372" t="str">
            <v>CP Brass screws 40mm</v>
          </cell>
          <cell r="D372">
            <v>65</v>
          </cell>
          <cell r="E372" t="str">
            <v>Cent</v>
          </cell>
          <cell r="G372">
            <v>72.474999999999994</v>
          </cell>
          <cell r="H372">
            <v>72.474999999999994</v>
          </cell>
          <cell r="I372">
            <v>81.25</v>
          </cell>
          <cell r="J372">
            <v>68.25</v>
          </cell>
          <cell r="K372">
            <v>70.2</v>
          </cell>
          <cell r="L372">
            <v>68.25</v>
          </cell>
          <cell r="M372">
            <v>81.25</v>
          </cell>
          <cell r="N372">
            <v>101.5625</v>
          </cell>
          <cell r="O372">
            <v>85.3125</v>
          </cell>
        </row>
        <row r="373">
          <cell r="C373" t="str">
            <v>Screw Brass 25 mm(Hi-Hi)</v>
          </cell>
          <cell r="D373">
            <v>1.5</v>
          </cell>
          <cell r="E373" t="str">
            <v>Nos.</v>
          </cell>
          <cell r="G373">
            <v>1.6724999999999999</v>
          </cell>
          <cell r="H373">
            <v>1.6725000000000001</v>
          </cell>
          <cell r="I373">
            <v>1.875</v>
          </cell>
          <cell r="J373">
            <v>1.5750000000000002</v>
          </cell>
          <cell r="K373">
            <v>1.62</v>
          </cell>
          <cell r="L373">
            <v>1.5750000000000002</v>
          </cell>
          <cell r="M373">
            <v>1.875</v>
          </cell>
          <cell r="N373">
            <v>2.34375</v>
          </cell>
          <cell r="O373">
            <v>1.9687500000000002</v>
          </cell>
        </row>
        <row r="374">
          <cell r="C374" t="str">
            <v>Screw Brass 40 mm(Hi-Hi)</v>
          </cell>
          <cell r="D374">
            <v>2.1</v>
          </cell>
          <cell r="E374" t="str">
            <v>Nos.</v>
          </cell>
          <cell r="G374">
            <v>2.3414999999999999</v>
          </cell>
          <cell r="H374">
            <v>2.3414999999999999</v>
          </cell>
          <cell r="I374">
            <v>2.625</v>
          </cell>
          <cell r="J374">
            <v>2.2050000000000001</v>
          </cell>
          <cell r="K374">
            <v>2.2680000000000002</v>
          </cell>
          <cell r="L374">
            <v>2.2050000000000001</v>
          </cell>
          <cell r="M374">
            <v>2.625</v>
          </cell>
          <cell r="N374">
            <v>3.28125</v>
          </cell>
          <cell r="O374">
            <v>2.7562500000000001</v>
          </cell>
        </row>
        <row r="375">
          <cell r="C375" t="str">
            <v>Aluminium Butt Hinge 8 Cm</v>
          </cell>
          <cell r="D375">
            <v>45</v>
          </cell>
          <cell r="E375" t="str">
            <v>Nos.</v>
          </cell>
          <cell r="G375">
            <v>50.174999999999997</v>
          </cell>
          <cell r="H375">
            <v>50.174999999999997</v>
          </cell>
          <cell r="I375">
            <v>56.25</v>
          </cell>
          <cell r="J375">
            <v>47.25</v>
          </cell>
          <cell r="K375">
            <v>48.6</v>
          </cell>
          <cell r="L375">
            <v>47.25</v>
          </cell>
          <cell r="M375">
            <v>56.25</v>
          </cell>
          <cell r="N375">
            <v>70.3125</v>
          </cell>
          <cell r="O375">
            <v>59.0625</v>
          </cell>
        </row>
        <row r="376">
          <cell r="C376" t="str">
            <v>Aluminium Butt Hinge 10 Cm</v>
          </cell>
          <cell r="D376">
            <v>80</v>
          </cell>
          <cell r="E376" t="str">
            <v>Nos</v>
          </cell>
          <cell r="G376">
            <v>89.2</v>
          </cell>
          <cell r="H376">
            <v>89.2</v>
          </cell>
          <cell r="I376">
            <v>100</v>
          </cell>
          <cell r="J376">
            <v>84</v>
          </cell>
          <cell r="K376">
            <v>86.4</v>
          </cell>
          <cell r="L376">
            <v>84</v>
          </cell>
          <cell r="M376">
            <v>100</v>
          </cell>
          <cell r="N376">
            <v>125</v>
          </cell>
          <cell r="O376">
            <v>105</v>
          </cell>
        </row>
        <row r="377">
          <cell r="C377" t="str">
            <v>Black enammeled M.S. butt hinges</v>
          </cell>
          <cell r="D377">
            <v>65</v>
          </cell>
          <cell r="E377" t="str">
            <v>Nos.</v>
          </cell>
          <cell r="G377">
            <v>72.474999999999994</v>
          </cell>
          <cell r="H377">
            <v>72.474999999999994</v>
          </cell>
          <cell r="I377">
            <v>81.25</v>
          </cell>
          <cell r="J377">
            <v>68.25</v>
          </cell>
          <cell r="K377">
            <v>70.2</v>
          </cell>
          <cell r="L377">
            <v>68.25</v>
          </cell>
          <cell r="M377">
            <v>81.25</v>
          </cell>
          <cell r="N377">
            <v>101.5625</v>
          </cell>
          <cell r="O377">
            <v>85.3125</v>
          </cell>
        </row>
        <row r="378">
          <cell r="C378" t="str">
            <v>M.S. Handle 125mm</v>
          </cell>
          <cell r="D378">
            <v>18</v>
          </cell>
          <cell r="E378" t="str">
            <v>Nos.</v>
          </cell>
          <cell r="G378">
            <v>20.07</v>
          </cell>
          <cell r="H378">
            <v>20.07</v>
          </cell>
          <cell r="I378">
            <v>22.5</v>
          </cell>
          <cell r="J378">
            <v>18.900000000000002</v>
          </cell>
          <cell r="K378">
            <v>19.440000000000001</v>
          </cell>
          <cell r="L378">
            <v>18.900000000000002</v>
          </cell>
          <cell r="M378">
            <v>22.5</v>
          </cell>
          <cell r="N378">
            <v>28.125</v>
          </cell>
          <cell r="O378">
            <v>23.625000000000004</v>
          </cell>
        </row>
        <row r="379">
          <cell r="C379" t="str">
            <v>M.S. Hooks and eyes 300mm</v>
          </cell>
          <cell r="D379">
            <v>35</v>
          </cell>
          <cell r="E379" t="str">
            <v>Nos.</v>
          </cell>
          <cell r="G379">
            <v>39.024999999999999</v>
          </cell>
          <cell r="H379">
            <v>39.024999999999999</v>
          </cell>
          <cell r="I379">
            <v>43.75</v>
          </cell>
          <cell r="J379">
            <v>36.75</v>
          </cell>
          <cell r="K379">
            <v>37.800000000000004</v>
          </cell>
          <cell r="L379">
            <v>36.75</v>
          </cell>
          <cell r="M379">
            <v>43.75</v>
          </cell>
          <cell r="N379">
            <v>54.6875</v>
          </cell>
          <cell r="O379">
            <v>45.9375</v>
          </cell>
        </row>
        <row r="380">
          <cell r="C380" t="str">
            <v>Hinges 100 x 58 x 1.9 mm</v>
          </cell>
          <cell r="D380">
            <v>62</v>
          </cell>
          <cell r="E380" t="str">
            <v>ten</v>
          </cell>
          <cell r="G380">
            <v>69.13</v>
          </cell>
          <cell r="H380">
            <v>69.13</v>
          </cell>
          <cell r="I380">
            <v>77.5</v>
          </cell>
          <cell r="J380">
            <v>65.100000000000009</v>
          </cell>
          <cell r="K380">
            <v>66.960000000000008</v>
          </cell>
          <cell r="L380">
            <v>65.100000000000009</v>
          </cell>
          <cell r="M380">
            <v>77.5</v>
          </cell>
          <cell r="N380">
            <v>96.875</v>
          </cell>
          <cell r="O380">
            <v>81.375000000000014</v>
          </cell>
        </row>
        <row r="381">
          <cell r="C381" t="str">
            <v>50 x 37 x 1.5 mm</v>
          </cell>
          <cell r="D381">
            <v>31</v>
          </cell>
          <cell r="E381" t="str">
            <v>ten</v>
          </cell>
          <cell r="G381">
            <v>34.564999999999998</v>
          </cell>
          <cell r="H381">
            <v>34.564999999999998</v>
          </cell>
          <cell r="I381">
            <v>38.75</v>
          </cell>
          <cell r="J381">
            <v>32.550000000000004</v>
          </cell>
          <cell r="K381">
            <v>33.480000000000004</v>
          </cell>
          <cell r="L381">
            <v>32.550000000000004</v>
          </cell>
          <cell r="M381">
            <v>38.75</v>
          </cell>
          <cell r="N381">
            <v>48.4375</v>
          </cell>
          <cell r="O381">
            <v>40.687500000000007</v>
          </cell>
        </row>
        <row r="382">
          <cell r="C382" t="str">
            <v>100 x 250 x 2.24 mm</v>
          </cell>
          <cell r="D382">
            <v>187</v>
          </cell>
          <cell r="E382" t="str">
            <v>ten</v>
          </cell>
          <cell r="G382">
            <v>208.505</v>
          </cell>
          <cell r="H382">
            <v>208.505</v>
          </cell>
          <cell r="I382">
            <v>233.75</v>
          </cell>
          <cell r="J382">
            <v>196.35</v>
          </cell>
          <cell r="K382">
            <v>201.96</v>
          </cell>
          <cell r="L382">
            <v>196.35</v>
          </cell>
          <cell r="M382">
            <v>233.75</v>
          </cell>
          <cell r="N382">
            <v>292.1875</v>
          </cell>
          <cell r="O382">
            <v>245.4375</v>
          </cell>
        </row>
        <row r="383">
          <cell r="C383" t="str">
            <v>M.S. Screws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40 mm</v>
          </cell>
          <cell r="D384">
            <v>22</v>
          </cell>
          <cell r="E384" t="str">
            <v>Pkt</v>
          </cell>
          <cell r="G384">
            <v>24.53</v>
          </cell>
          <cell r="H384">
            <v>24.53</v>
          </cell>
          <cell r="I384">
            <v>27.5</v>
          </cell>
          <cell r="J384">
            <v>23.1</v>
          </cell>
          <cell r="K384">
            <v>23.76</v>
          </cell>
          <cell r="L384">
            <v>23.1</v>
          </cell>
          <cell r="M384">
            <v>27.5</v>
          </cell>
          <cell r="N384">
            <v>34.375</v>
          </cell>
          <cell r="O384">
            <v>28.875</v>
          </cell>
        </row>
        <row r="385">
          <cell r="C385" t="str">
            <v>20 mm</v>
          </cell>
          <cell r="D385">
            <v>16</v>
          </cell>
          <cell r="E385" t="str">
            <v>Pkt</v>
          </cell>
          <cell r="G385">
            <v>17.84</v>
          </cell>
          <cell r="H385">
            <v>17.84</v>
          </cell>
          <cell r="I385">
            <v>20</v>
          </cell>
          <cell r="J385">
            <v>16.8</v>
          </cell>
          <cell r="K385">
            <v>17.28</v>
          </cell>
          <cell r="L385">
            <v>16.8</v>
          </cell>
          <cell r="M385">
            <v>20</v>
          </cell>
          <cell r="N385">
            <v>25</v>
          </cell>
          <cell r="O385">
            <v>21</v>
          </cell>
        </row>
        <row r="386">
          <cell r="C386" t="str">
            <v>Iron Screws 25mm</v>
          </cell>
          <cell r="D386">
            <v>16</v>
          </cell>
          <cell r="E386" t="str">
            <v>Cent</v>
          </cell>
          <cell r="G386">
            <v>17.84</v>
          </cell>
          <cell r="H386">
            <v>17.84</v>
          </cell>
          <cell r="I386">
            <v>20</v>
          </cell>
          <cell r="J386">
            <v>16.8</v>
          </cell>
          <cell r="K386">
            <v>17.28</v>
          </cell>
          <cell r="L386">
            <v>16.8</v>
          </cell>
          <cell r="M386">
            <v>20</v>
          </cell>
          <cell r="N386">
            <v>25</v>
          </cell>
          <cell r="O386">
            <v>21</v>
          </cell>
        </row>
        <row r="387">
          <cell r="C387" t="str">
            <v>Iron Screws 35 mm</v>
          </cell>
          <cell r="D387">
            <v>18</v>
          </cell>
          <cell r="E387" t="str">
            <v>Cent</v>
          </cell>
          <cell r="G387">
            <v>20.07</v>
          </cell>
          <cell r="H387">
            <v>20.07</v>
          </cell>
          <cell r="I387">
            <v>22.5</v>
          </cell>
          <cell r="J387">
            <v>18.900000000000002</v>
          </cell>
          <cell r="K387">
            <v>19.440000000000001</v>
          </cell>
          <cell r="L387">
            <v>18.900000000000002</v>
          </cell>
          <cell r="M387">
            <v>22.5</v>
          </cell>
          <cell r="N387">
            <v>28.125</v>
          </cell>
          <cell r="O387">
            <v>23.625000000000004</v>
          </cell>
        </row>
        <row r="388">
          <cell r="C388" t="str">
            <v>Aluminium Handle  75 mm</v>
          </cell>
          <cell r="D388">
            <v>21</v>
          </cell>
          <cell r="E388" t="str">
            <v>Nos.</v>
          </cell>
          <cell r="G388">
            <v>23.414999999999999</v>
          </cell>
          <cell r="H388">
            <v>23.414999999999999</v>
          </cell>
          <cell r="I388">
            <v>26.25</v>
          </cell>
          <cell r="J388">
            <v>22.05</v>
          </cell>
          <cell r="K388">
            <v>22.68</v>
          </cell>
          <cell r="L388">
            <v>22.05</v>
          </cell>
          <cell r="M388">
            <v>26.25</v>
          </cell>
          <cell r="N388">
            <v>32.8125</v>
          </cell>
          <cell r="O388">
            <v>27.5625</v>
          </cell>
        </row>
        <row r="389">
          <cell r="C389" t="str">
            <v>Aluminium Handle 100 mm</v>
          </cell>
          <cell r="D389">
            <v>26</v>
          </cell>
          <cell r="E389" t="str">
            <v>Nos.</v>
          </cell>
          <cell r="G389">
            <v>28.99</v>
          </cell>
          <cell r="H389">
            <v>28.99</v>
          </cell>
          <cell r="I389">
            <v>32.5</v>
          </cell>
          <cell r="J389">
            <v>27.3</v>
          </cell>
          <cell r="K389">
            <v>28.080000000000002</v>
          </cell>
          <cell r="L389">
            <v>27.3</v>
          </cell>
          <cell r="M389">
            <v>32.5</v>
          </cell>
          <cell r="N389">
            <v>40.625</v>
          </cell>
          <cell r="O389">
            <v>34.125</v>
          </cell>
        </row>
        <row r="390">
          <cell r="C390" t="str">
            <v>Ceramic tile( anti skid) 8" X 8"</v>
          </cell>
          <cell r="D390">
            <v>285</v>
          </cell>
          <cell r="E390" t="str">
            <v>Sqm</v>
          </cell>
          <cell r="G390">
            <v>317.77499999999998</v>
          </cell>
          <cell r="H390">
            <v>317.77499999999998</v>
          </cell>
          <cell r="I390">
            <v>356.25</v>
          </cell>
          <cell r="J390">
            <v>299.25</v>
          </cell>
          <cell r="K390">
            <v>307.8</v>
          </cell>
          <cell r="L390">
            <v>299.25</v>
          </cell>
          <cell r="M390">
            <v>356.25</v>
          </cell>
          <cell r="N390">
            <v>445.3125</v>
          </cell>
          <cell r="O390">
            <v>374.0625</v>
          </cell>
        </row>
        <row r="391">
          <cell r="C391" t="str">
            <v>Ceramic tile( anti skid) 12" X 12"</v>
          </cell>
          <cell r="D391">
            <v>285</v>
          </cell>
          <cell r="E391" t="str">
            <v>Sqm</v>
          </cell>
          <cell r="G391">
            <v>317.77499999999998</v>
          </cell>
          <cell r="H391">
            <v>317.77499999999998</v>
          </cell>
          <cell r="I391">
            <v>356.25</v>
          </cell>
          <cell r="J391">
            <v>299.25</v>
          </cell>
          <cell r="K391">
            <v>307.8</v>
          </cell>
          <cell r="L391">
            <v>299.25</v>
          </cell>
          <cell r="M391">
            <v>356.25</v>
          </cell>
          <cell r="N391">
            <v>445.3125</v>
          </cell>
          <cell r="O391">
            <v>374.0625</v>
          </cell>
        </row>
        <row r="392">
          <cell r="C392" t="str">
            <v>Ceramic floor tile 6" x 6"</v>
          </cell>
          <cell r="D392">
            <v>220</v>
          </cell>
          <cell r="E392" t="str">
            <v>Sqm</v>
          </cell>
          <cell r="G392">
            <v>245.3</v>
          </cell>
          <cell r="H392">
            <v>245.3</v>
          </cell>
          <cell r="I392">
            <v>275</v>
          </cell>
          <cell r="J392">
            <v>231</v>
          </cell>
          <cell r="K392">
            <v>237.60000000000002</v>
          </cell>
          <cell r="L392">
            <v>231</v>
          </cell>
          <cell r="M392">
            <v>275</v>
          </cell>
          <cell r="N392">
            <v>343.75</v>
          </cell>
          <cell r="O392">
            <v>288.75</v>
          </cell>
        </row>
        <row r="393">
          <cell r="C393" t="str">
            <v>Ceramic floor tile 12" x 12"</v>
          </cell>
          <cell r="D393">
            <v>275</v>
          </cell>
          <cell r="E393" t="str">
            <v>Sqm</v>
          </cell>
          <cell r="G393">
            <v>306.625</v>
          </cell>
          <cell r="H393">
            <v>306.625</v>
          </cell>
          <cell r="I393">
            <v>343.75</v>
          </cell>
          <cell r="J393">
            <v>288.75</v>
          </cell>
          <cell r="K393">
            <v>297</v>
          </cell>
          <cell r="L393">
            <v>288.75</v>
          </cell>
          <cell r="M393">
            <v>343.75</v>
          </cell>
          <cell r="N393">
            <v>429.6875</v>
          </cell>
          <cell r="O393">
            <v>360.9375</v>
          </cell>
        </row>
        <row r="394">
          <cell r="C394" t="str">
            <v>Ceramic floor tile 16" x 16"</v>
          </cell>
          <cell r="D394">
            <v>355</v>
          </cell>
          <cell r="E394" t="str">
            <v>Sqm</v>
          </cell>
          <cell r="G394">
            <v>395.82499999999999</v>
          </cell>
          <cell r="H394">
            <v>395.82499999999999</v>
          </cell>
          <cell r="I394">
            <v>443.75</v>
          </cell>
          <cell r="J394">
            <v>372.75</v>
          </cell>
          <cell r="K394">
            <v>383.40000000000003</v>
          </cell>
          <cell r="L394">
            <v>372.75</v>
          </cell>
          <cell r="M394">
            <v>443.75</v>
          </cell>
          <cell r="N394">
            <v>554.6875</v>
          </cell>
          <cell r="O394">
            <v>465.9375</v>
          </cell>
        </row>
        <row r="395">
          <cell r="C395" t="str">
            <v>Ceramic floor tile 24" x 24"</v>
          </cell>
          <cell r="D395">
            <v>620</v>
          </cell>
          <cell r="E395" t="str">
            <v>Sqm</v>
          </cell>
          <cell r="G395">
            <v>691.3</v>
          </cell>
          <cell r="H395">
            <v>691.3</v>
          </cell>
          <cell r="I395">
            <v>775</v>
          </cell>
          <cell r="J395">
            <v>651</v>
          </cell>
          <cell r="K395">
            <v>669.6</v>
          </cell>
          <cell r="L395">
            <v>651</v>
          </cell>
          <cell r="M395">
            <v>775</v>
          </cell>
          <cell r="N395">
            <v>968.75</v>
          </cell>
          <cell r="O395">
            <v>813.75</v>
          </cell>
        </row>
        <row r="396">
          <cell r="C396" t="str">
            <v>Ceramic wall tile 8' X8"</v>
          </cell>
          <cell r="D396">
            <v>245</v>
          </cell>
          <cell r="E396" t="str">
            <v>Sqm</v>
          </cell>
          <cell r="G396">
            <v>273.17500000000001</v>
          </cell>
          <cell r="H396">
            <v>273.17500000000001</v>
          </cell>
          <cell r="I396">
            <v>306.25</v>
          </cell>
          <cell r="J396">
            <v>257.25</v>
          </cell>
          <cell r="K396">
            <v>264.60000000000002</v>
          </cell>
          <cell r="L396">
            <v>257.25</v>
          </cell>
          <cell r="M396">
            <v>306.25</v>
          </cell>
          <cell r="N396">
            <v>382.8125</v>
          </cell>
          <cell r="O396">
            <v>321.5625</v>
          </cell>
        </row>
        <row r="397">
          <cell r="C397" t="str">
            <v>Ceramic wall tile 8' X12"</v>
          </cell>
          <cell r="D397">
            <v>268</v>
          </cell>
          <cell r="E397" t="str">
            <v>Sqm</v>
          </cell>
          <cell r="G397">
            <v>298.82</v>
          </cell>
          <cell r="H397">
            <v>298.82</v>
          </cell>
          <cell r="I397">
            <v>335</v>
          </cell>
          <cell r="J397">
            <v>281.40000000000003</v>
          </cell>
          <cell r="K397">
            <v>289.44</v>
          </cell>
          <cell r="L397">
            <v>281.40000000000003</v>
          </cell>
          <cell r="M397">
            <v>335</v>
          </cell>
          <cell r="N397">
            <v>418.75</v>
          </cell>
          <cell r="O397">
            <v>351.75000000000006</v>
          </cell>
        </row>
        <row r="398">
          <cell r="C398" t="str">
            <v>Vitreous tile 12"X 12"</v>
          </cell>
          <cell r="D398">
            <v>308</v>
          </cell>
          <cell r="E398" t="str">
            <v>Sqm</v>
          </cell>
          <cell r="G398">
            <v>343.42</v>
          </cell>
          <cell r="H398">
            <v>343.42</v>
          </cell>
          <cell r="I398">
            <v>385</v>
          </cell>
          <cell r="J398">
            <v>323.40000000000003</v>
          </cell>
          <cell r="K398">
            <v>332.64000000000004</v>
          </cell>
          <cell r="L398">
            <v>323.40000000000003</v>
          </cell>
          <cell r="M398">
            <v>385</v>
          </cell>
          <cell r="N398">
            <v>481.25</v>
          </cell>
          <cell r="O398">
            <v>404.25000000000006</v>
          </cell>
        </row>
        <row r="399">
          <cell r="C399" t="str">
            <v>Vitreous tile 16"X 16"</v>
          </cell>
          <cell r="D399">
            <v>388</v>
          </cell>
          <cell r="E399" t="str">
            <v>Sqm</v>
          </cell>
          <cell r="G399">
            <v>432.62</v>
          </cell>
          <cell r="H399">
            <v>432.62</v>
          </cell>
          <cell r="I399">
            <v>485</v>
          </cell>
          <cell r="J399">
            <v>407.40000000000003</v>
          </cell>
          <cell r="K399">
            <v>419.04</v>
          </cell>
          <cell r="L399">
            <v>407.40000000000003</v>
          </cell>
          <cell r="M399">
            <v>485</v>
          </cell>
          <cell r="N399">
            <v>606.25</v>
          </cell>
          <cell r="O399">
            <v>509.25000000000006</v>
          </cell>
        </row>
        <row r="400">
          <cell r="C400" t="str">
            <v>Vitreous tile 24"X 24"</v>
          </cell>
          <cell r="D400">
            <v>795</v>
          </cell>
          <cell r="E400" t="str">
            <v>Sqm</v>
          </cell>
          <cell r="G400">
            <v>886.42499999999995</v>
          </cell>
          <cell r="H400">
            <v>886.42499999999995</v>
          </cell>
          <cell r="I400">
            <v>993.75</v>
          </cell>
          <cell r="J400">
            <v>834.75</v>
          </cell>
          <cell r="K400">
            <v>858.6</v>
          </cell>
          <cell r="L400">
            <v>834.75</v>
          </cell>
          <cell r="M400">
            <v>993.75</v>
          </cell>
          <cell r="N400">
            <v>1242.1875</v>
          </cell>
          <cell r="O400">
            <v>1043.4375</v>
          </cell>
        </row>
        <row r="401">
          <cell r="C401" t="str">
            <v>Vitreous tile 36"X 36"</v>
          </cell>
          <cell r="D401">
            <v>450</v>
          </cell>
          <cell r="E401" t="str">
            <v>Sqm</v>
          </cell>
          <cell r="G401">
            <v>501.75</v>
          </cell>
          <cell r="H401">
            <v>501.75</v>
          </cell>
          <cell r="I401">
            <v>562.5</v>
          </cell>
          <cell r="J401">
            <v>472.5</v>
          </cell>
          <cell r="K401">
            <v>486.00000000000006</v>
          </cell>
          <cell r="L401">
            <v>472.5</v>
          </cell>
          <cell r="M401">
            <v>562.5</v>
          </cell>
          <cell r="N401">
            <v>703.125</v>
          </cell>
          <cell r="O401">
            <v>590.625</v>
          </cell>
        </row>
        <row r="402">
          <cell r="C402" t="str">
            <v>MS Plate 6mm</v>
          </cell>
          <cell r="D402">
            <v>31887</v>
          </cell>
          <cell r="E402" t="str">
            <v>MT</v>
          </cell>
          <cell r="G402">
            <v>33092</v>
          </cell>
          <cell r="H402">
            <v>33095</v>
          </cell>
          <cell r="I402">
            <v>33820</v>
          </cell>
          <cell r="J402">
            <v>33820</v>
          </cell>
          <cell r="K402">
            <v>33820</v>
          </cell>
          <cell r="L402">
            <v>33820</v>
          </cell>
          <cell r="M402">
            <v>33820</v>
          </cell>
          <cell r="N402">
            <v>33244</v>
          </cell>
          <cell r="O402">
            <v>33244</v>
          </cell>
        </row>
        <row r="403">
          <cell r="C403" t="str">
            <v>MS Plate 8mm</v>
          </cell>
          <cell r="D403">
            <v>28296</v>
          </cell>
          <cell r="E403" t="str">
            <v>MT</v>
          </cell>
          <cell r="G403">
            <v>31550.04</v>
          </cell>
          <cell r="H403">
            <v>31550.04</v>
          </cell>
          <cell r="I403">
            <v>35370</v>
          </cell>
          <cell r="J403">
            <v>29710.800000000003</v>
          </cell>
          <cell r="K403">
            <v>30559.68</v>
          </cell>
          <cell r="L403">
            <v>29710.800000000003</v>
          </cell>
          <cell r="M403">
            <v>35370</v>
          </cell>
          <cell r="N403">
            <v>44212.5</v>
          </cell>
          <cell r="O403">
            <v>37138.5</v>
          </cell>
        </row>
        <row r="404">
          <cell r="C404" t="str">
            <v>MS Plate 10mm</v>
          </cell>
          <cell r="D404">
            <v>28296</v>
          </cell>
          <cell r="E404" t="str">
            <v>MT</v>
          </cell>
          <cell r="G404">
            <v>31550.04</v>
          </cell>
          <cell r="H404">
            <v>31550.04</v>
          </cell>
          <cell r="I404">
            <v>35370</v>
          </cell>
          <cell r="J404">
            <v>29710.800000000003</v>
          </cell>
          <cell r="K404">
            <v>30559.68</v>
          </cell>
          <cell r="L404">
            <v>29710.800000000003</v>
          </cell>
          <cell r="M404">
            <v>35370</v>
          </cell>
          <cell r="N404">
            <v>44212.5</v>
          </cell>
          <cell r="O404">
            <v>37138.5</v>
          </cell>
        </row>
        <row r="405">
          <cell r="C405" t="str">
            <v>MS Plate 12mm</v>
          </cell>
          <cell r="D405">
            <v>30338</v>
          </cell>
          <cell r="E405" t="str">
            <v>MT</v>
          </cell>
          <cell r="G405">
            <v>33826.870000000003</v>
          </cell>
          <cell r="H405">
            <v>33826.870000000003</v>
          </cell>
          <cell r="I405">
            <v>37922.5</v>
          </cell>
          <cell r="J405">
            <v>31854.9</v>
          </cell>
          <cell r="K405">
            <v>32765.040000000001</v>
          </cell>
          <cell r="L405">
            <v>31854.9</v>
          </cell>
          <cell r="M405">
            <v>37922.5</v>
          </cell>
          <cell r="N405">
            <v>47403.125</v>
          </cell>
          <cell r="O405">
            <v>39818.625</v>
          </cell>
        </row>
        <row r="406">
          <cell r="C406" t="str">
            <v>MS Plate 16mm</v>
          </cell>
          <cell r="D406">
            <v>38999</v>
          </cell>
          <cell r="E406" t="str">
            <v>MT</v>
          </cell>
          <cell r="G406">
            <v>43483.885000000002</v>
          </cell>
          <cell r="H406">
            <v>43483.885000000002</v>
          </cell>
          <cell r="I406">
            <v>48748.75</v>
          </cell>
          <cell r="J406">
            <v>40948.950000000004</v>
          </cell>
          <cell r="K406">
            <v>42118.920000000006</v>
          </cell>
          <cell r="L406">
            <v>40948.950000000004</v>
          </cell>
          <cell r="M406">
            <v>48748.75</v>
          </cell>
          <cell r="N406">
            <v>60935.9375</v>
          </cell>
          <cell r="O406">
            <v>51186.187500000007</v>
          </cell>
        </row>
        <row r="407">
          <cell r="C407" t="str">
            <v>MS Plate 20mm</v>
          </cell>
          <cell r="D407">
            <v>36780</v>
          </cell>
          <cell r="E407" t="str">
            <v>MT</v>
          </cell>
          <cell r="G407">
            <v>41009.699999999997</v>
          </cell>
          <cell r="H407">
            <v>41009.699999999997</v>
          </cell>
          <cell r="I407">
            <v>45975</v>
          </cell>
          <cell r="J407">
            <v>38619</v>
          </cell>
          <cell r="K407">
            <v>39722.400000000001</v>
          </cell>
          <cell r="L407">
            <v>38619</v>
          </cell>
          <cell r="M407">
            <v>45975</v>
          </cell>
          <cell r="N407">
            <v>57468.75</v>
          </cell>
          <cell r="O407">
            <v>48273.75</v>
          </cell>
        </row>
        <row r="408">
          <cell r="C408" t="str">
            <v>MS Plate 25mm</v>
          </cell>
          <cell r="D408">
            <v>35754</v>
          </cell>
          <cell r="E408" t="str">
            <v>MT</v>
          </cell>
          <cell r="G408">
            <v>39865.71</v>
          </cell>
          <cell r="H408">
            <v>39865.71</v>
          </cell>
          <cell r="I408">
            <v>44692.5</v>
          </cell>
          <cell r="J408">
            <v>37541.700000000004</v>
          </cell>
          <cell r="K408">
            <v>38614.32</v>
          </cell>
          <cell r="L408">
            <v>37541.700000000004</v>
          </cell>
          <cell r="M408">
            <v>44692.5</v>
          </cell>
          <cell r="N408">
            <v>55865.625</v>
          </cell>
          <cell r="O408">
            <v>46927.125000000007</v>
          </cell>
        </row>
        <row r="409">
          <cell r="C409" t="str">
            <v>HR Sheet 1.60mm</v>
          </cell>
          <cell r="D409">
            <v>34345</v>
          </cell>
          <cell r="E409" t="str">
            <v>MT</v>
          </cell>
          <cell r="G409">
            <v>38294.675000000003</v>
          </cell>
          <cell r="H409">
            <v>38294.675000000003</v>
          </cell>
          <cell r="I409">
            <v>42931.25</v>
          </cell>
          <cell r="J409">
            <v>36062.25</v>
          </cell>
          <cell r="K409">
            <v>36062.25</v>
          </cell>
          <cell r="L409">
            <v>36062.25</v>
          </cell>
          <cell r="M409">
            <v>42931.25</v>
          </cell>
          <cell r="N409">
            <v>53664.0625</v>
          </cell>
          <cell r="O409">
            <v>45077.8125</v>
          </cell>
        </row>
        <row r="410">
          <cell r="C410" t="str">
            <v>MS channels</v>
          </cell>
          <cell r="D410">
            <v>26735</v>
          </cell>
          <cell r="E410" t="str">
            <v>MT</v>
          </cell>
          <cell r="G410">
            <v>29809.525000000001</v>
          </cell>
          <cell r="H410">
            <v>29809.525000000001</v>
          </cell>
          <cell r="I410">
            <v>33418.75</v>
          </cell>
          <cell r="J410">
            <v>28071.75</v>
          </cell>
          <cell r="K410">
            <v>28071.75</v>
          </cell>
          <cell r="L410">
            <v>28071.75</v>
          </cell>
          <cell r="M410">
            <v>33418.75</v>
          </cell>
          <cell r="N410">
            <v>41773.4375</v>
          </cell>
          <cell r="O410">
            <v>35089.6875</v>
          </cell>
        </row>
        <row r="411">
          <cell r="C411" t="str">
            <v>MS Tee</v>
          </cell>
          <cell r="E411" t="str">
            <v>MT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MS Flats</v>
          </cell>
          <cell r="D412">
            <v>33700</v>
          </cell>
          <cell r="E412" t="str">
            <v>MT</v>
          </cell>
          <cell r="F412" t="str">
            <v>according size</v>
          </cell>
          <cell r="G412">
            <v>37575.5</v>
          </cell>
          <cell r="H412">
            <v>37575.5</v>
          </cell>
          <cell r="I412">
            <v>42125</v>
          </cell>
          <cell r="J412">
            <v>35385</v>
          </cell>
          <cell r="K412">
            <v>35385</v>
          </cell>
          <cell r="L412">
            <v>35385</v>
          </cell>
          <cell r="M412">
            <v>42125</v>
          </cell>
          <cell r="N412">
            <v>52656.25</v>
          </cell>
          <cell r="O412">
            <v>44231.25</v>
          </cell>
        </row>
        <row r="413">
          <cell r="C413" t="str">
            <v>Pulleys 40mm dia</v>
          </cell>
          <cell r="D413">
            <v>19</v>
          </cell>
          <cell r="E413" t="str">
            <v>Nos</v>
          </cell>
          <cell r="G413">
            <v>21.184999999999999</v>
          </cell>
          <cell r="H413">
            <v>21.184999999999999</v>
          </cell>
          <cell r="I413">
            <v>23.75</v>
          </cell>
          <cell r="J413">
            <v>19.95</v>
          </cell>
          <cell r="K413">
            <v>19.95</v>
          </cell>
          <cell r="L413">
            <v>19.95</v>
          </cell>
          <cell r="M413">
            <v>23.75</v>
          </cell>
          <cell r="N413">
            <v>29.6875</v>
          </cell>
          <cell r="O413">
            <v>24.9375</v>
          </cell>
        </row>
        <row r="414">
          <cell r="C414" t="str">
            <v>Pulleys 25mm dia</v>
          </cell>
          <cell r="E414" t="str">
            <v>Nos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Pinters including welding pins</v>
          </cell>
          <cell r="E415" t="str">
            <v>Nos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MS. Cleats with bolts and nuts to rest on pintles</v>
          </cell>
          <cell r="E416" t="str">
            <v>Nos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Rolling shutter</v>
          </cell>
          <cell r="D417">
            <v>933</v>
          </cell>
          <cell r="E417" t="str">
            <v>Sqm</v>
          </cell>
          <cell r="G417">
            <v>1040.2950000000001</v>
          </cell>
          <cell r="H417">
            <v>1040.2950000000001</v>
          </cell>
          <cell r="I417">
            <v>1166.25</v>
          </cell>
          <cell r="J417">
            <v>979.65000000000009</v>
          </cell>
          <cell r="K417">
            <v>979.65000000000009</v>
          </cell>
          <cell r="L417">
            <v>979.65000000000009</v>
          </cell>
          <cell r="M417">
            <v>1166.25</v>
          </cell>
          <cell r="N417">
            <v>1457.8125</v>
          </cell>
          <cell r="O417">
            <v>1224.5625</v>
          </cell>
        </row>
        <row r="418">
          <cell r="C418" t="str">
            <v>Top cover</v>
          </cell>
          <cell r="D418">
            <v>427</v>
          </cell>
          <cell r="E418" t="str">
            <v>Mtr</v>
          </cell>
          <cell r="G418">
            <v>476.10500000000002</v>
          </cell>
          <cell r="H418">
            <v>476.10500000000002</v>
          </cell>
          <cell r="I418">
            <v>533.75</v>
          </cell>
          <cell r="J418">
            <v>448.35</v>
          </cell>
          <cell r="K418">
            <v>448.35</v>
          </cell>
          <cell r="L418">
            <v>448.35</v>
          </cell>
          <cell r="M418">
            <v>533.75</v>
          </cell>
          <cell r="N418">
            <v>667.1875</v>
          </cell>
          <cell r="O418">
            <v>560.4375</v>
          </cell>
        </row>
        <row r="419">
          <cell r="C419" t="str">
            <v>Coiled type spring</v>
          </cell>
          <cell r="D419">
            <v>226</v>
          </cell>
          <cell r="E419" t="str">
            <v>No</v>
          </cell>
          <cell r="G419">
            <v>251.99</v>
          </cell>
          <cell r="H419">
            <v>251.99</v>
          </cell>
          <cell r="I419">
            <v>282.5</v>
          </cell>
          <cell r="J419">
            <v>237.3</v>
          </cell>
          <cell r="K419">
            <v>237.3</v>
          </cell>
          <cell r="L419">
            <v>237.3</v>
          </cell>
          <cell r="M419">
            <v>282.5</v>
          </cell>
          <cell r="N419">
            <v>353.125</v>
          </cell>
          <cell r="O419">
            <v>296.625</v>
          </cell>
        </row>
        <row r="420">
          <cell r="C420" t="str">
            <v>Angle Iron</v>
          </cell>
          <cell r="D420">
            <v>34900</v>
          </cell>
          <cell r="E420" t="str">
            <v>MT</v>
          </cell>
          <cell r="H420">
            <v>0</v>
          </cell>
          <cell r="I420">
            <v>43625</v>
          </cell>
          <cell r="J420">
            <v>36645</v>
          </cell>
          <cell r="K420">
            <v>36645</v>
          </cell>
          <cell r="L420">
            <v>36645</v>
          </cell>
          <cell r="M420">
            <v>43625</v>
          </cell>
          <cell r="N420">
            <v>54531.25</v>
          </cell>
          <cell r="O420">
            <v>45806.25</v>
          </cell>
        </row>
        <row r="421">
          <cell r="C421" t="str">
            <v>Principal rafter</v>
          </cell>
          <cell r="E421" t="str">
            <v>MT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Bolts, nuts and washers</v>
          </cell>
          <cell r="D422">
            <v>44000</v>
          </cell>
          <cell r="E422" t="str">
            <v>MT</v>
          </cell>
          <cell r="G422">
            <v>49060</v>
          </cell>
          <cell r="H422">
            <v>49060</v>
          </cell>
          <cell r="I422">
            <v>55000</v>
          </cell>
          <cell r="J422">
            <v>46200</v>
          </cell>
          <cell r="K422">
            <v>46200</v>
          </cell>
          <cell r="L422">
            <v>46200</v>
          </cell>
          <cell r="M422">
            <v>55000</v>
          </cell>
          <cell r="N422">
            <v>68750</v>
          </cell>
          <cell r="O422">
            <v>57750</v>
          </cell>
        </row>
        <row r="423">
          <cell r="C423" t="str">
            <v>Gusset plates</v>
          </cell>
          <cell r="E423" t="str">
            <v>MT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Ball Bearing</v>
          </cell>
          <cell r="D424">
            <v>311</v>
          </cell>
          <cell r="E424" t="str">
            <v>Nos</v>
          </cell>
          <cell r="G424">
            <v>346.76499999999999</v>
          </cell>
          <cell r="H424">
            <v>346.76499999999999</v>
          </cell>
          <cell r="I424">
            <v>388.75</v>
          </cell>
          <cell r="J424">
            <v>326.55</v>
          </cell>
          <cell r="K424">
            <v>326.55</v>
          </cell>
          <cell r="L424">
            <v>326.55</v>
          </cell>
          <cell r="M424">
            <v>388.75</v>
          </cell>
          <cell r="N424">
            <v>485.9375</v>
          </cell>
          <cell r="O424">
            <v>408.1875</v>
          </cell>
        </row>
        <row r="425">
          <cell r="C425" t="str">
            <v>HR Sheet 3.15mm</v>
          </cell>
          <cell r="D425">
            <v>34345</v>
          </cell>
          <cell r="E425" t="str">
            <v>MT</v>
          </cell>
          <cell r="G425">
            <v>38294.675000000003</v>
          </cell>
          <cell r="H425">
            <v>38294.675000000003</v>
          </cell>
          <cell r="I425">
            <v>42931.25</v>
          </cell>
          <cell r="J425">
            <v>36062.25</v>
          </cell>
          <cell r="K425">
            <v>36062.25</v>
          </cell>
          <cell r="L425">
            <v>36062.25</v>
          </cell>
          <cell r="M425">
            <v>42931.25</v>
          </cell>
          <cell r="N425">
            <v>53664.0625</v>
          </cell>
          <cell r="O425">
            <v>45077.8125</v>
          </cell>
        </row>
        <row r="426">
          <cell r="C426" t="str">
            <v>ISA 25X25X5 mm</v>
          </cell>
          <cell r="D426">
            <v>19423</v>
          </cell>
          <cell r="E426" t="str">
            <v>MT</v>
          </cell>
          <cell r="F426" t="str">
            <v>1/04-GRS240/90</v>
          </cell>
          <cell r="G426">
            <v>21656.645</v>
          </cell>
          <cell r="H426">
            <v>21656.645</v>
          </cell>
          <cell r="I426">
            <v>24278.75</v>
          </cell>
          <cell r="J426">
            <v>20394.150000000001</v>
          </cell>
          <cell r="K426">
            <v>20394.150000000001</v>
          </cell>
          <cell r="L426">
            <v>20394.150000000001</v>
          </cell>
          <cell r="M426">
            <v>24278.75</v>
          </cell>
          <cell r="N426">
            <v>30348.4375</v>
          </cell>
          <cell r="O426">
            <v>25492.6875</v>
          </cell>
        </row>
        <row r="427">
          <cell r="C427" t="str">
            <v>ISA 50X50X6mm</v>
          </cell>
          <cell r="D427">
            <v>30422</v>
          </cell>
          <cell r="E427" t="str">
            <v>MT</v>
          </cell>
          <cell r="F427" t="str">
            <v>1/04-GRS240/90</v>
          </cell>
          <cell r="G427">
            <v>33920.53</v>
          </cell>
          <cell r="H427">
            <v>33920.53</v>
          </cell>
          <cell r="I427">
            <v>38027.5</v>
          </cell>
          <cell r="J427">
            <v>31943.100000000002</v>
          </cell>
          <cell r="K427">
            <v>31943.100000000002</v>
          </cell>
          <cell r="L427">
            <v>31943.100000000002</v>
          </cell>
          <cell r="M427">
            <v>38027.5</v>
          </cell>
          <cell r="N427">
            <v>47534.375</v>
          </cell>
          <cell r="O427">
            <v>39928.875</v>
          </cell>
        </row>
        <row r="428">
          <cell r="C428" t="str">
            <v>ISA 50X50X8mm</v>
          </cell>
          <cell r="E428" t="str">
            <v>MT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ISA 65X65X8mm</v>
          </cell>
          <cell r="D429">
            <v>18548</v>
          </cell>
          <cell r="E429" t="str">
            <v>MT</v>
          </cell>
          <cell r="F429" t="str">
            <v>1/04-GRS240/90</v>
          </cell>
          <cell r="G429">
            <v>20681.02</v>
          </cell>
          <cell r="H429">
            <v>20681.02</v>
          </cell>
          <cell r="I429">
            <v>23185</v>
          </cell>
          <cell r="J429">
            <v>19475.400000000001</v>
          </cell>
          <cell r="K429">
            <v>19475.400000000001</v>
          </cell>
          <cell r="L429">
            <v>19475.400000000001</v>
          </cell>
          <cell r="M429">
            <v>23185</v>
          </cell>
          <cell r="N429">
            <v>28981.25</v>
          </cell>
          <cell r="O429">
            <v>24344.25</v>
          </cell>
        </row>
        <row r="430">
          <cell r="C430" t="str">
            <v>ISA 75X75X8mm</v>
          </cell>
          <cell r="D430">
            <v>29251</v>
          </cell>
          <cell r="E430" t="str">
            <v>MT</v>
          </cell>
          <cell r="F430" t="str">
            <v>1/04-GRS240/90</v>
          </cell>
          <cell r="G430">
            <v>32614.864999999998</v>
          </cell>
          <cell r="H430">
            <v>32614.864999999998</v>
          </cell>
          <cell r="I430">
            <v>36563.75</v>
          </cell>
          <cell r="J430">
            <v>30713.550000000003</v>
          </cell>
          <cell r="K430">
            <v>30713.550000000003</v>
          </cell>
          <cell r="L430">
            <v>30713.550000000003</v>
          </cell>
          <cell r="M430">
            <v>36563.75</v>
          </cell>
          <cell r="N430">
            <v>45704.6875</v>
          </cell>
          <cell r="O430">
            <v>38391.9375</v>
          </cell>
        </row>
        <row r="431">
          <cell r="C431" t="str">
            <v>ISA 75X75X10mm</v>
          </cell>
          <cell r="D431">
            <v>30073</v>
          </cell>
          <cell r="E431" t="str">
            <v>MT</v>
          </cell>
          <cell r="F431" t="str">
            <v>1/04-GRS240/90</v>
          </cell>
          <cell r="G431">
            <v>33531.394999999997</v>
          </cell>
          <cell r="H431">
            <v>33531.394999999997</v>
          </cell>
          <cell r="I431">
            <v>37591.25</v>
          </cell>
          <cell r="J431">
            <v>31576.65</v>
          </cell>
          <cell r="K431">
            <v>31576.65</v>
          </cell>
          <cell r="L431">
            <v>31576.65</v>
          </cell>
          <cell r="M431">
            <v>37591.25</v>
          </cell>
          <cell r="N431">
            <v>46989.0625</v>
          </cell>
          <cell r="O431">
            <v>39470.8125</v>
          </cell>
        </row>
        <row r="432">
          <cell r="C432" t="str">
            <v>ISA 100X100X8mm</v>
          </cell>
          <cell r="D432">
            <v>33899</v>
          </cell>
          <cell r="E432" t="str">
            <v>MT</v>
          </cell>
          <cell r="F432" t="str">
            <v>1/04-GRS240/90</v>
          </cell>
          <cell r="G432">
            <v>37797.385000000002</v>
          </cell>
          <cell r="H432">
            <v>37797.385000000002</v>
          </cell>
          <cell r="I432">
            <v>42373.75</v>
          </cell>
          <cell r="J432">
            <v>35593.950000000004</v>
          </cell>
          <cell r="K432">
            <v>35593.950000000004</v>
          </cell>
          <cell r="L432">
            <v>35593.950000000004</v>
          </cell>
          <cell r="M432">
            <v>42373.75</v>
          </cell>
          <cell r="N432">
            <v>52967.1875</v>
          </cell>
          <cell r="O432">
            <v>44492.437500000007</v>
          </cell>
        </row>
        <row r="433">
          <cell r="C433" t="str">
            <v>ISA 100X100X10mm</v>
          </cell>
          <cell r="D433">
            <v>35231</v>
          </cell>
          <cell r="E433" t="str">
            <v>MT</v>
          </cell>
          <cell r="F433" t="str">
            <v>1/04-GRS240/90</v>
          </cell>
          <cell r="G433">
            <v>39282.565000000002</v>
          </cell>
          <cell r="H433">
            <v>39282.565000000002</v>
          </cell>
          <cell r="I433">
            <v>44038.75</v>
          </cell>
          <cell r="J433">
            <v>36992.550000000003</v>
          </cell>
          <cell r="K433">
            <v>36992.550000000003</v>
          </cell>
          <cell r="L433">
            <v>36992.550000000003</v>
          </cell>
          <cell r="M433">
            <v>44038.75</v>
          </cell>
          <cell r="N433">
            <v>55048.4375</v>
          </cell>
          <cell r="O433">
            <v>46240.6875</v>
          </cell>
        </row>
        <row r="434">
          <cell r="C434" t="str">
            <v>ISA 150X150X10mm</v>
          </cell>
          <cell r="E434" t="str">
            <v>MT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ISA 150X150X12mm</v>
          </cell>
          <cell r="D435">
            <v>24668</v>
          </cell>
          <cell r="E435" t="str">
            <v>MT</v>
          </cell>
          <cell r="F435" t="str">
            <v>1/04-GRS240/90</v>
          </cell>
          <cell r="G435">
            <v>27504.82</v>
          </cell>
          <cell r="H435">
            <v>27504.82</v>
          </cell>
          <cell r="I435">
            <v>30835</v>
          </cell>
          <cell r="J435">
            <v>25901.4</v>
          </cell>
          <cell r="K435">
            <v>25901.4</v>
          </cell>
          <cell r="L435">
            <v>25901.4</v>
          </cell>
          <cell r="M435">
            <v>30835</v>
          </cell>
          <cell r="N435">
            <v>38543.75</v>
          </cell>
          <cell r="O435">
            <v>32376.75</v>
          </cell>
        </row>
        <row r="436">
          <cell r="C436" t="str">
            <v>ISMC 100X50 mm</v>
          </cell>
          <cell r="D436">
            <v>26870</v>
          </cell>
          <cell r="E436" t="str">
            <v>MT</v>
          </cell>
          <cell r="F436" t="str">
            <v>1/04-GRS240/90</v>
          </cell>
          <cell r="G436">
            <v>29960.05</v>
          </cell>
          <cell r="H436">
            <v>29960.05</v>
          </cell>
          <cell r="I436">
            <v>33587.5</v>
          </cell>
          <cell r="J436">
            <v>28213.5</v>
          </cell>
          <cell r="K436">
            <v>28213.5</v>
          </cell>
          <cell r="L436">
            <v>28213.5</v>
          </cell>
          <cell r="M436">
            <v>33587.5</v>
          </cell>
          <cell r="N436">
            <v>41984.375</v>
          </cell>
          <cell r="O436">
            <v>35266.875</v>
          </cell>
        </row>
        <row r="437">
          <cell r="C437" t="str">
            <v>ISMC 125X65 mm</v>
          </cell>
          <cell r="D437">
            <v>30500</v>
          </cell>
          <cell r="E437" t="str">
            <v>MT</v>
          </cell>
          <cell r="F437" t="str">
            <v>1/04-GRS240/90</v>
          </cell>
          <cell r="G437">
            <v>34007.5</v>
          </cell>
          <cell r="H437">
            <v>34007.5</v>
          </cell>
          <cell r="I437">
            <v>38125</v>
          </cell>
          <cell r="J437">
            <v>32025</v>
          </cell>
          <cell r="K437">
            <v>32025</v>
          </cell>
          <cell r="L437">
            <v>32025</v>
          </cell>
          <cell r="M437">
            <v>38125</v>
          </cell>
          <cell r="N437">
            <v>47656.25</v>
          </cell>
          <cell r="O437">
            <v>40031.25</v>
          </cell>
        </row>
        <row r="438">
          <cell r="C438" t="str">
            <v>ISMC 150X75 mm</v>
          </cell>
          <cell r="D438">
            <v>20576</v>
          </cell>
          <cell r="E438" t="str">
            <v>MT</v>
          </cell>
          <cell r="F438" t="str">
            <v>1/04-GRS240/90</v>
          </cell>
          <cell r="G438">
            <v>22942.240000000002</v>
          </cell>
          <cell r="H438">
            <v>22942.240000000002</v>
          </cell>
          <cell r="I438">
            <v>25720</v>
          </cell>
          <cell r="J438">
            <v>21604.799999999999</v>
          </cell>
          <cell r="K438">
            <v>21604.799999999999</v>
          </cell>
          <cell r="L438">
            <v>21604.799999999999</v>
          </cell>
          <cell r="M438">
            <v>25720</v>
          </cell>
          <cell r="N438">
            <v>32150</v>
          </cell>
          <cell r="O438">
            <v>27006</v>
          </cell>
        </row>
        <row r="439">
          <cell r="C439" t="str">
            <v>ISMC 300X90 mm</v>
          </cell>
          <cell r="D439">
            <v>28992</v>
          </cell>
          <cell r="E439" t="str">
            <v>MT</v>
          </cell>
          <cell r="G439">
            <v>32326.079999999998</v>
          </cell>
          <cell r="H439">
            <v>32326.079999999998</v>
          </cell>
          <cell r="I439">
            <v>36240</v>
          </cell>
          <cell r="J439">
            <v>30441.600000000002</v>
          </cell>
          <cell r="K439">
            <v>30441.600000000002</v>
          </cell>
          <cell r="L439">
            <v>30441.600000000002</v>
          </cell>
          <cell r="M439">
            <v>36240</v>
          </cell>
          <cell r="N439">
            <v>45300</v>
          </cell>
          <cell r="O439">
            <v>38052</v>
          </cell>
        </row>
        <row r="440"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MS Flat 40X6mm</v>
          </cell>
          <cell r="D442">
            <v>37200</v>
          </cell>
          <cell r="E442" t="str">
            <v>MT</v>
          </cell>
          <cell r="G442">
            <v>41478</v>
          </cell>
          <cell r="H442">
            <v>41478</v>
          </cell>
          <cell r="I442">
            <v>46500</v>
          </cell>
          <cell r="J442">
            <v>39060</v>
          </cell>
          <cell r="K442">
            <v>39060</v>
          </cell>
          <cell r="L442">
            <v>39060</v>
          </cell>
          <cell r="M442">
            <v>46500</v>
          </cell>
          <cell r="N442">
            <v>58125</v>
          </cell>
          <cell r="O442">
            <v>48825</v>
          </cell>
        </row>
        <row r="443">
          <cell r="C443" t="str">
            <v>MS Flat 50X6mm</v>
          </cell>
          <cell r="D443">
            <v>15800</v>
          </cell>
          <cell r="E443" t="str">
            <v>MT</v>
          </cell>
          <cell r="F443" t="str">
            <v>5/02-GRS258/37</v>
          </cell>
          <cell r="G443">
            <v>17617</v>
          </cell>
          <cell r="H443">
            <v>17617</v>
          </cell>
          <cell r="I443">
            <v>19750</v>
          </cell>
          <cell r="J443">
            <v>16590</v>
          </cell>
          <cell r="K443">
            <v>16590</v>
          </cell>
          <cell r="L443">
            <v>16590</v>
          </cell>
          <cell r="M443">
            <v>19750</v>
          </cell>
          <cell r="N443">
            <v>24687.5</v>
          </cell>
          <cell r="O443">
            <v>20737.5</v>
          </cell>
        </row>
        <row r="444">
          <cell r="C444" t="str">
            <v>MS rails 90 lbs</v>
          </cell>
          <cell r="D444">
            <v>29256</v>
          </cell>
          <cell r="E444" t="str">
            <v>MT</v>
          </cell>
          <cell r="F444" t="str">
            <v>5/02-GRS258/37</v>
          </cell>
          <cell r="G444">
            <v>32620.44</v>
          </cell>
          <cell r="H444">
            <v>32620.44</v>
          </cell>
          <cell r="I444">
            <v>36570</v>
          </cell>
          <cell r="J444">
            <v>30718.800000000003</v>
          </cell>
          <cell r="K444">
            <v>30718.800000000003</v>
          </cell>
          <cell r="L444">
            <v>30718.800000000003</v>
          </cell>
          <cell r="M444">
            <v>36570</v>
          </cell>
          <cell r="N444">
            <v>45712.5</v>
          </cell>
          <cell r="O444">
            <v>38398.5</v>
          </cell>
        </row>
        <row r="445">
          <cell r="C445" t="str">
            <v>MS rails 105 lbs</v>
          </cell>
          <cell r="D445">
            <v>29256</v>
          </cell>
          <cell r="E445" t="str">
            <v>MT</v>
          </cell>
          <cell r="F445" t="str">
            <v>5/02-GRS258/37</v>
          </cell>
          <cell r="G445">
            <v>32620.44</v>
          </cell>
          <cell r="H445">
            <v>32620.44</v>
          </cell>
          <cell r="I445">
            <v>36570</v>
          </cell>
          <cell r="J445">
            <v>30718.800000000003</v>
          </cell>
          <cell r="K445">
            <v>30718.800000000003</v>
          </cell>
          <cell r="L445">
            <v>30718.800000000003</v>
          </cell>
          <cell r="M445">
            <v>36570</v>
          </cell>
          <cell r="N445">
            <v>45712.5</v>
          </cell>
          <cell r="O445">
            <v>38398.5</v>
          </cell>
        </row>
        <row r="446">
          <cell r="C446" t="str">
            <v>MS Chequered plate 6mm</v>
          </cell>
          <cell r="D446">
            <v>36874</v>
          </cell>
          <cell r="E446" t="str">
            <v>MT</v>
          </cell>
          <cell r="G446">
            <v>41114.51</v>
          </cell>
          <cell r="H446">
            <v>41114.51</v>
          </cell>
          <cell r="J446">
            <v>38717.700000000004</v>
          </cell>
          <cell r="K446">
            <v>38717.700000000004</v>
          </cell>
          <cell r="L446">
            <v>38717.700000000004</v>
          </cell>
          <cell r="M446">
            <v>46092.5</v>
          </cell>
        </row>
        <row r="447">
          <cell r="C447" t="str">
            <v>MS Chequered plate 8mm</v>
          </cell>
          <cell r="D447">
            <v>36874</v>
          </cell>
          <cell r="E447" t="str">
            <v>MT</v>
          </cell>
          <cell r="G447">
            <v>41114.51</v>
          </cell>
          <cell r="H447">
            <v>41114.51</v>
          </cell>
          <cell r="J447">
            <v>38717.700000000004</v>
          </cell>
          <cell r="K447">
            <v>38717.700000000004</v>
          </cell>
          <cell r="L447">
            <v>38717.700000000004</v>
          </cell>
          <cell r="M447">
            <v>46092.5</v>
          </cell>
        </row>
        <row r="448">
          <cell r="C448" t="str">
            <v>MS Pipes (medium) 3"</v>
          </cell>
          <cell r="D448">
            <v>39</v>
          </cell>
          <cell r="E448" t="str">
            <v>Kg</v>
          </cell>
          <cell r="G448">
            <v>43.484999999999999</v>
          </cell>
          <cell r="H448">
            <v>43.484999999999999</v>
          </cell>
          <cell r="I448">
            <v>48.75</v>
          </cell>
          <cell r="J448">
            <v>40.950000000000003</v>
          </cell>
          <cell r="K448">
            <v>40.950000000000003</v>
          </cell>
          <cell r="L448">
            <v>40.950000000000003</v>
          </cell>
          <cell r="M448">
            <v>48.75</v>
          </cell>
          <cell r="N448">
            <v>60.9375</v>
          </cell>
          <cell r="O448">
            <v>51.1875</v>
          </cell>
        </row>
        <row r="449">
          <cell r="C449" t="str">
            <v>MS Pipes (medium) 2 -1/2"</v>
          </cell>
          <cell r="D449">
            <v>39</v>
          </cell>
          <cell r="E449" t="str">
            <v>Kg</v>
          </cell>
          <cell r="G449">
            <v>43.484999999999999</v>
          </cell>
          <cell r="H449">
            <v>43.484999999999999</v>
          </cell>
          <cell r="I449">
            <v>48.75</v>
          </cell>
          <cell r="J449">
            <v>40.950000000000003</v>
          </cell>
          <cell r="K449">
            <v>40.950000000000003</v>
          </cell>
          <cell r="L449">
            <v>40.950000000000003</v>
          </cell>
          <cell r="M449">
            <v>48.75</v>
          </cell>
          <cell r="N449">
            <v>60.9375</v>
          </cell>
          <cell r="O449">
            <v>51.1875</v>
          </cell>
        </row>
        <row r="450">
          <cell r="C450" t="str">
            <v>MS Pipes (medium) 2"</v>
          </cell>
          <cell r="D450">
            <v>39</v>
          </cell>
          <cell r="E450" t="str">
            <v>Kg</v>
          </cell>
          <cell r="G450">
            <v>43.484999999999999</v>
          </cell>
          <cell r="H450">
            <v>43.484999999999999</v>
          </cell>
          <cell r="I450">
            <v>48.75</v>
          </cell>
          <cell r="J450">
            <v>40.950000000000003</v>
          </cell>
          <cell r="K450">
            <v>40.950000000000003</v>
          </cell>
          <cell r="L450">
            <v>40.950000000000003</v>
          </cell>
          <cell r="M450">
            <v>48.75</v>
          </cell>
          <cell r="N450">
            <v>60.9375</v>
          </cell>
          <cell r="O450">
            <v>51.1875</v>
          </cell>
        </row>
        <row r="451">
          <cell r="C451" t="str">
            <v>MS Pipes (medium) 1-1/2"</v>
          </cell>
          <cell r="D451">
            <v>39</v>
          </cell>
          <cell r="E451" t="str">
            <v>Kg</v>
          </cell>
          <cell r="G451">
            <v>43.484999999999999</v>
          </cell>
          <cell r="H451">
            <v>43.484999999999999</v>
          </cell>
          <cell r="I451">
            <v>48.75</v>
          </cell>
          <cell r="J451">
            <v>40.950000000000003</v>
          </cell>
          <cell r="K451">
            <v>40.950000000000003</v>
          </cell>
          <cell r="L451">
            <v>40.950000000000003</v>
          </cell>
          <cell r="M451">
            <v>48.75</v>
          </cell>
          <cell r="N451">
            <v>60.9375</v>
          </cell>
          <cell r="O451">
            <v>51.1875</v>
          </cell>
        </row>
        <row r="452">
          <cell r="C452" t="str">
            <v>MS Pipes (medium) 1"</v>
          </cell>
          <cell r="D452">
            <v>39</v>
          </cell>
          <cell r="E452" t="str">
            <v>Kg</v>
          </cell>
          <cell r="G452">
            <v>43.484999999999999</v>
          </cell>
          <cell r="H452">
            <v>43.484999999999999</v>
          </cell>
          <cell r="I452">
            <v>48.75</v>
          </cell>
          <cell r="J452">
            <v>40.950000000000003</v>
          </cell>
          <cell r="K452">
            <v>40.950000000000003</v>
          </cell>
          <cell r="L452">
            <v>40.950000000000003</v>
          </cell>
          <cell r="M452">
            <v>48.75</v>
          </cell>
          <cell r="N452">
            <v>60.9375</v>
          </cell>
          <cell r="O452">
            <v>51.1875</v>
          </cell>
        </row>
        <row r="453">
          <cell r="C453" t="str">
            <v>Welding Electrode 4 mm (6013)</v>
          </cell>
          <cell r="D453">
            <v>4.13</v>
          </cell>
          <cell r="E453" t="str">
            <v>Nos.</v>
          </cell>
          <cell r="G453">
            <v>4.6049499999999997</v>
          </cell>
          <cell r="H453">
            <v>4.6049499999999997</v>
          </cell>
          <cell r="I453">
            <v>5.1624999999999996</v>
          </cell>
          <cell r="J453">
            <v>4.3365</v>
          </cell>
          <cell r="K453">
            <v>4.3365</v>
          </cell>
          <cell r="L453">
            <v>4.3365</v>
          </cell>
          <cell r="M453">
            <v>5.1624999999999996</v>
          </cell>
          <cell r="N453">
            <v>6.453125</v>
          </cell>
          <cell r="O453">
            <v>5.4206250000000002</v>
          </cell>
        </row>
        <row r="454">
          <cell r="C454" t="str">
            <v>Welding Electrode 3.15 mm(6013)</v>
          </cell>
          <cell r="D454">
            <v>13</v>
          </cell>
          <cell r="E454" t="str">
            <v>Nos.</v>
          </cell>
          <cell r="G454">
            <v>14.494999999999999</v>
          </cell>
          <cell r="H454">
            <v>14.494999999999999</v>
          </cell>
          <cell r="I454">
            <v>16.25</v>
          </cell>
          <cell r="J454">
            <v>13.65</v>
          </cell>
          <cell r="K454">
            <v>13.65</v>
          </cell>
          <cell r="L454">
            <v>13.65</v>
          </cell>
          <cell r="M454">
            <v>16.25</v>
          </cell>
          <cell r="N454">
            <v>20.3125</v>
          </cell>
          <cell r="O454">
            <v>17.0625</v>
          </cell>
        </row>
        <row r="455">
          <cell r="C455" t="str">
            <v>Fan Hook</v>
          </cell>
          <cell r="D455">
            <v>31</v>
          </cell>
          <cell r="E455" t="str">
            <v>Nos.</v>
          </cell>
          <cell r="G455">
            <v>34.564999999999998</v>
          </cell>
          <cell r="H455">
            <v>34.564999999999998</v>
          </cell>
          <cell r="I455">
            <v>38.75</v>
          </cell>
          <cell r="J455">
            <v>32.550000000000004</v>
          </cell>
          <cell r="K455">
            <v>32.550000000000004</v>
          </cell>
          <cell r="L455">
            <v>32.550000000000004</v>
          </cell>
          <cell r="M455">
            <v>38.75</v>
          </cell>
          <cell r="N455">
            <v>48.4375</v>
          </cell>
          <cell r="O455">
            <v>40.687500000000007</v>
          </cell>
        </row>
        <row r="456">
          <cell r="C456" t="str">
            <v xml:space="preserve">Oxygen Cylinder </v>
          </cell>
          <cell r="D456">
            <v>770</v>
          </cell>
          <cell r="E456" t="str">
            <v>Nos.</v>
          </cell>
          <cell r="G456">
            <v>858.55</v>
          </cell>
          <cell r="H456">
            <v>858.55</v>
          </cell>
          <cell r="I456">
            <v>962.5</v>
          </cell>
          <cell r="J456">
            <v>808.5</v>
          </cell>
          <cell r="K456">
            <v>808.5</v>
          </cell>
          <cell r="L456">
            <v>808.5</v>
          </cell>
          <cell r="M456">
            <v>962.5</v>
          </cell>
          <cell r="N456">
            <v>1203.125</v>
          </cell>
          <cell r="O456">
            <v>1010.625</v>
          </cell>
        </row>
        <row r="457">
          <cell r="C457" t="str">
            <v>Acetelene gas</v>
          </cell>
          <cell r="E457" t="str">
            <v>Nos.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Calcium Carbide</v>
          </cell>
          <cell r="D458">
            <v>63</v>
          </cell>
          <cell r="E458" t="str">
            <v>Kg</v>
          </cell>
          <cell r="G458">
            <v>70.245000000000005</v>
          </cell>
          <cell r="H458">
            <v>70.245000000000005</v>
          </cell>
          <cell r="I458">
            <v>78.75</v>
          </cell>
          <cell r="J458">
            <v>66.150000000000006</v>
          </cell>
          <cell r="K458">
            <v>66.150000000000006</v>
          </cell>
          <cell r="L458">
            <v>66.150000000000006</v>
          </cell>
          <cell r="M458">
            <v>78.75</v>
          </cell>
          <cell r="N458">
            <v>98.4375</v>
          </cell>
          <cell r="O458">
            <v>82.6875</v>
          </cell>
        </row>
        <row r="459">
          <cell r="C459" t="str">
            <v>Empty drum(new) 200 Ltr.</v>
          </cell>
          <cell r="D459">
            <v>880</v>
          </cell>
          <cell r="E459" t="str">
            <v>Nos.</v>
          </cell>
          <cell r="G459">
            <v>981.2</v>
          </cell>
          <cell r="H459">
            <v>981.2</v>
          </cell>
          <cell r="I459">
            <v>1100</v>
          </cell>
          <cell r="J459">
            <v>924</v>
          </cell>
          <cell r="K459">
            <v>924</v>
          </cell>
          <cell r="L459">
            <v>924</v>
          </cell>
          <cell r="M459">
            <v>1100</v>
          </cell>
          <cell r="N459">
            <v>1375</v>
          </cell>
          <cell r="O459">
            <v>1155</v>
          </cell>
        </row>
        <row r="460">
          <cell r="C460" t="str">
            <v>Empty drum(leak proof,used) 200 Ltr.</v>
          </cell>
          <cell r="D460">
            <v>530</v>
          </cell>
          <cell r="E460" t="str">
            <v>Nos.</v>
          </cell>
          <cell r="G460">
            <v>590.95000000000005</v>
          </cell>
          <cell r="H460">
            <v>590.95000000000005</v>
          </cell>
          <cell r="I460">
            <v>662.5</v>
          </cell>
          <cell r="J460">
            <v>556.5</v>
          </cell>
          <cell r="K460">
            <v>556.5</v>
          </cell>
          <cell r="L460">
            <v>556.5</v>
          </cell>
          <cell r="M460">
            <v>662.5</v>
          </cell>
          <cell r="N460">
            <v>828.125</v>
          </cell>
          <cell r="O460">
            <v>695.625</v>
          </cell>
        </row>
        <row r="461">
          <cell r="C461" t="str">
            <v>Wire rope-12mm</v>
          </cell>
          <cell r="D461">
            <v>45</v>
          </cell>
          <cell r="E461" t="str">
            <v>Rmt</v>
          </cell>
          <cell r="G461">
            <v>50.174999999999997</v>
          </cell>
          <cell r="H461">
            <v>50.174999999999997</v>
          </cell>
          <cell r="I461">
            <v>56.25</v>
          </cell>
          <cell r="J461">
            <v>47.25</v>
          </cell>
          <cell r="K461">
            <v>47.25</v>
          </cell>
          <cell r="L461">
            <v>47.25</v>
          </cell>
          <cell r="M461">
            <v>56.25</v>
          </cell>
          <cell r="N461">
            <v>70.3125</v>
          </cell>
          <cell r="O461">
            <v>59.0625</v>
          </cell>
        </row>
        <row r="462">
          <cell r="C462" t="str">
            <v>Wire rope-16mm</v>
          </cell>
          <cell r="D462">
            <v>60</v>
          </cell>
          <cell r="E462" t="str">
            <v>Rmt</v>
          </cell>
          <cell r="G462">
            <v>66.900000000000006</v>
          </cell>
          <cell r="H462">
            <v>66.900000000000006</v>
          </cell>
          <cell r="I462">
            <v>75</v>
          </cell>
          <cell r="J462">
            <v>63</v>
          </cell>
          <cell r="K462">
            <v>63</v>
          </cell>
          <cell r="L462">
            <v>63</v>
          </cell>
          <cell r="M462">
            <v>75</v>
          </cell>
          <cell r="N462">
            <v>93.75</v>
          </cell>
          <cell r="O462">
            <v>78.75</v>
          </cell>
        </row>
        <row r="463">
          <cell r="C463" t="str">
            <v>Wire rope-18mm</v>
          </cell>
          <cell r="D463">
            <v>48</v>
          </cell>
          <cell r="E463" t="str">
            <v>Rmt</v>
          </cell>
          <cell r="F463" t="str">
            <v>3/97-GRS231/16</v>
          </cell>
          <cell r="G463">
            <v>53.519999999999996</v>
          </cell>
          <cell r="H463">
            <v>53.519999999999996</v>
          </cell>
          <cell r="I463">
            <v>60</v>
          </cell>
          <cell r="J463">
            <v>50.400000000000006</v>
          </cell>
          <cell r="K463">
            <v>50.400000000000006</v>
          </cell>
          <cell r="L463">
            <v>50.400000000000006</v>
          </cell>
          <cell r="M463">
            <v>60</v>
          </cell>
          <cell r="N463">
            <v>75</v>
          </cell>
          <cell r="O463">
            <v>63.000000000000007</v>
          </cell>
        </row>
        <row r="464">
          <cell r="C464" t="str">
            <v>Wire rope-20mm</v>
          </cell>
          <cell r="D464">
            <v>94</v>
          </cell>
          <cell r="E464" t="str">
            <v>Rmt</v>
          </cell>
          <cell r="F464" t="str">
            <v>5/01-GRS251/84</v>
          </cell>
          <cell r="G464">
            <v>104.81</v>
          </cell>
          <cell r="H464">
            <v>104.81</v>
          </cell>
          <cell r="I464">
            <v>117.5</v>
          </cell>
          <cell r="J464">
            <v>98.7</v>
          </cell>
          <cell r="K464">
            <v>98.7</v>
          </cell>
          <cell r="L464">
            <v>98.7</v>
          </cell>
          <cell r="M464">
            <v>117.5</v>
          </cell>
          <cell r="N464">
            <v>146.875</v>
          </cell>
          <cell r="O464">
            <v>123.375</v>
          </cell>
        </row>
        <row r="465">
          <cell r="C465" t="str">
            <v>Polypropelene rope-32mm</v>
          </cell>
          <cell r="D465">
            <v>102</v>
          </cell>
          <cell r="E465" t="str">
            <v>Kg</v>
          </cell>
          <cell r="G465">
            <v>113.73</v>
          </cell>
          <cell r="H465">
            <v>113.73</v>
          </cell>
          <cell r="I465">
            <v>127.5</v>
          </cell>
          <cell r="J465">
            <v>107.10000000000001</v>
          </cell>
          <cell r="K465">
            <v>107.10000000000001</v>
          </cell>
          <cell r="L465">
            <v>107.10000000000001</v>
          </cell>
          <cell r="M465">
            <v>127.5</v>
          </cell>
          <cell r="N465">
            <v>159.375</v>
          </cell>
          <cell r="O465">
            <v>133.875</v>
          </cell>
        </row>
        <row r="466">
          <cell r="C466" t="str">
            <v>Poly propelene rope-28mm</v>
          </cell>
          <cell r="D466">
            <v>102</v>
          </cell>
          <cell r="E466" t="str">
            <v>Kg</v>
          </cell>
          <cell r="G466">
            <v>113.73</v>
          </cell>
          <cell r="H466">
            <v>113.73</v>
          </cell>
          <cell r="I466">
            <v>127.5</v>
          </cell>
          <cell r="J466">
            <v>107.10000000000001</v>
          </cell>
          <cell r="K466">
            <v>107.10000000000001</v>
          </cell>
          <cell r="L466">
            <v>107.10000000000001</v>
          </cell>
          <cell r="M466">
            <v>127.5</v>
          </cell>
          <cell r="N466">
            <v>159.375</v>
          </cell>
          <cell r="O466">
            <v>133.875</v>
          </cell>
        </row>
        <row r="467">
          <cell r="C467" t="str">
            <v>Poly propelene rope-26mm</v>
          </cell>
          <cell r="D467">
            <v>102</v>
          </cell>
          <cell r="E467" t="str">
            <v>Kg</v>
          </cell>
          <cell r="G467">
            <v>113.73</v>
          </cell>
          <cell r="H467">
            <v>113.73</v>
          </cell>
          <cell r="I467">
            <v>127.5</v>
          </cell>
          <cell r="J467">
            <v>107.10000000000001</v>
          </cell>
          <cell r="K467">
            <v>107.10000000000001</v>
          </cell>
          <cell r="L467">
            <v>107.10000000000001</v>
          </cell>
          <cell r="M467">
            <v>127.5</v>
          </cell>
          <cell r="N467">
            <v>159.375</v>
          </cell>
          <cell r="O467">
            <v>133.875</v>
          </cell>
        </row>
        <row r="468">
          <cell r="C468" t="str">
            <v>Poly propelene rope-24mm</v>
          </cell>
          <cell r="D468">
            <v>102</v>
          </cell>
          <cell r="E468" t="str">
            <v>Kg</v>
          </cell>
          <cell r="G468">
            <v>113.73</v>
          </cell>
          <cell r="H468">
            <v>113.73</v>
          </cell>
          <cell r="I468">
            <v>127.5</v>
          </cell>
          <cell r="J468">
            <v>107.10000000000001</v>
          </cell>
          <cell r="K468">
            <v>107.10000000000001</v>
          </cell>
          <cell r="L468">
            <v>107.10000000000001</v>
          </cell>
          <cell r="M468">
            <v>127.5</v>
          </cell>
          <cell r="N468">
            <v>159.375</v>
          </cell>
          <cell r="O468">
            <v>133.875</v>
          </cell>
        </row>
        <row r="469">
          <cell r="C469" t="str">
            <v>Poly propelene rope-20mm</v>
          </cell>
          <cell r="D469">
            <v>102</v>
          </cell>
          <cell r="E469" t="str">
            <v>Kg</v>
          </cell>
          <cell r="G469">
            <v>113.73</v>
          </cell>
          <cell r="H469">
            <v>113.73</v>
          </cell>
          <cell r="I469">
            <v>127.5</v>
          </cell>
          <cell r="J469">
            <v>107.10000000000001</v>
          </cell>
          <cell r="K469">
            <v>107.10000000000001</v>
          </cell>
          <cell r="L469">
            <v>107.10000000000001</v>
          </cell>
          <cell r="M469">
            <v>127.5</v>
          </cell>
          <cell r="N469">
            <v>159.375</v>
          </cell>
          <cell r="O469">
            <v>133.875</v>
          </cell>
        </row>
        <row r="470">
          <cell r="C470" t="str">
            <v>Poly propelene rope-18mm</v>
          </cell>
          <cell r="D470">
            <v>102</v>
          </cell>
          <cell r="E470" t="str">
            <v>Kg</v>
          </cell>
          <cell r="G470">
            <v>113.73</v>
          </cell>
          <cell r="H470">
            <v>113.73</v>
          </cell>
          <cell r="I470">
            <v>127.5</v>
          </cell>
          <cell r="J470">
            <v>107.10000000000001</v>
          </cell>
          <cell r="K470">
            <v>107.10000000000001</v>
          </cell>
          <cell r="L470">
            <v>107.10000000000001</v>
          </cell>
          <cell r="M470">
            <v>127.5</v>
          </cell>
          <cell r="N470">
            <v>159.375</v>
          </cell>
          <cell r="O470">
            <v>133.875</v>
          </cell>
        </row>
        <row r="471">
          <cell r="C471" t="str">
            <v>Poly propelene rope-16mm</v>
          </cell>
          <cell r="D471">
            <v>102</v>
          </cell>
          <cell r="E471" t="str">
            <v>Kg</v>
          </cell>
          <cell r="G471">
            <v>113.73</v>
          </cell>
          <cell r="H471">
            <v>113.73</v>
          </cell>
          <cell r="I471">
            <v>127.5</v>
          </cell>
          <cell r="J471">
            <v>107.10000000000001</v>
          </cell>
          <cell r="K471">
            <v>107.10000000000001</v>
          </cell>
          <cell r="L471">
            <v>107.10000000000001</v>
          </cell>
          <cell r="M471">
            <v>127.5</v>
          </cell>
          <cell r="N471">
            <v>159.375</v>
          </cell>
          <cell r="O471">
            <v>133.875</v>
          </cell>
        </row>
        <row r="472">
          <cell r="C472" t="str">
            <v>Poly propelene rope-12mm</v>
          </cell>
          <cell r="D472">
            <v>102</v>
          </cell>
          <cell r="E472" t="str">
            <v>Kg</v>
          </cell>
          <cell r="G472">
            <v>113.73</v>
          </cell>
          <cell r="H472">
            <v>113.73</v>
          </cell>
          <cell r="I472">
            <v>127.5</v>
          </cell>
          <cell r="J472">
            <v>107.10000000000001</v>
          </cell>
          <cell r="K472">
            <v>107.10000000000001</v>
          </cell>
          <cell r="L472">
            <v>107.10000000000001</v>
          </cell>
          <cell r="M472">
            <v>127.5</v>
          </cell>
          <cell r="N472">
            <v>159.375</v>
          </cell>
          <cell r="O472">
            <v>133.875</v>
          </cell>
        </row>
        <row r="473">
          <cell r="C473" t="str">
            <v>Brush</v>
          </cell>
          <cell r="D473">
            <v>45</v>
          </cell>
          <cell r="E473" t="str">
            <v>Nos</v>
          </cell>
          <cell r="F473" t="str">
            <v>PR-42/Vol-I/LSO-101/6191</v>
          </cell>
          <cell r="G473">
            <v>50.174999999999997</v>
          </cell>
          <cell r="H473">
            <v>50.174999999999997</v>
          </cell>
          <cell r="I473">
            <v>56.25</v>
          </cell>
          <cell r="J473">
            <v>47.25</v>
          </cell>
          <cell r="K473">
            <v>47.25</v>
          </cell>
          <cell r="L473">
            <v>47.25</v>
          </cell>
          <cell r="M473">
            <v>56.25</v>
          </cell>
          <cell r="N473">
            <v>70.3125</v>
          </cell>
          <cell r="O473">
            <v>59.0625</v>
          </cell>
        </row>
        <row r="474">
          <cell r="C474" t="str">
            <v>D- shackle-12mm (     t)</v>
          </cell>
          <cell r="D474">
            <v>31</v>
          </cell>
          <cell r="E474" t="str">
            <v>Nos</v>
          </cell>
          <cell r="G474">
            <v>34.564999999999998</v>
          </cell>
          <cell r="H474">
            <v>34.564999999999998</v>
          </cell>
          <cell r="I474">
            <v>38.75</v>
          </cell>
          <cell r="J474">
            <v>32.550000000000004</v>
          </cell>
          <cell r="K474">
            <v>32.550000000000004</v>
          </cell>
          <cell r="L474">
            <v>32.550000000000004</v>
          </cell>
          <cell r="M474">
            <v>38.75</v>
          </cell>
          <cell r="N474">
            <v>48.4375</v>
          </cell>
          <cell r="O474">
            <v>40.687500000000007</v>
          </cell>
        </row>
        <row r="475">
          <cell r="C475" t="str">
            <v>D- shackle-16mm (     t)</v>
          </cell>
          <cell r="D475">
            <v>40</v>
          </cell>
          <cell r="E475" t="str">
            <v>Nos</v>
          </cell>
          <cell r="G475">
            <v>44.6</v>
          </cell>
          <cell r="H475">
            <v>44.6</v>
          </cell>
          <cell r="I475">
            <v>50</v>
          </cell>
          <cell r="J475">
            <v>42</v>
          </cell>
          <cell r="K475">
            <v>42</v>
          </cell>
          <cell r="L475">
            <v>42</v>
          </cell>
          <cell r="M475">
            <v>50</v>
          </cell>
          <cell r="N475">
            <v>62.5</v>
          </cell>
          <cell r="O475">
            <v>52.5</v>
          </cell>
        </row>
        <row r="476">
          <cell r="C476" t="str">
            <v>D- shackle-20mm (     t)</v>
          </cell>
          <cell r="D476">
            <v>53</v>
          </cell>
          <cell r="E476" t="str">
            <v>Nos</v>
          </cell>
          <cell r="F476" t="str">
            <v>6/05-GRS273/73</v>
          </cell>
          <cell r="G476">
            <v>59.094999999999999</v>
          </cell>
          <cell r="H476">
            <v>59.094999999999999</v>
          </cell>
          <cell r="I476">
            <v>66.25</v>
          </cell>
          <cell r="J476">
            <v>55.650000000000006</v>
          </cell>
          <cell r="K476">
            <v>55.650000000000006</v>
          </cell>
          <cell r="L476">
            <v>55.650000000000006</v>
          </cell>
          <cell r="M476">
            <v>66.25</v>
          </cell>
          <cell r="N476">
            <v>82.8125</v>
          </cell>
          <cell r="O476">
            <v>69.5625</v>
          </cell>
        </row>
        <row r="477">
          <cell r="C477" t="str">
            <v>Wire grip- 12mm</v>
          </cell>
          <cell r="D477">
            <v>9</v>
          </cell>
          <cell r="E477" t="str">
            <v>Nos</v>
          </cell>
          <cell r="F477" t="str">
            <v>3/99-GRS226/87</v>
          </cell>
          <cell r="G477">
            <v>10.035</v>
          </cell>
          <cell r="H477">
            <v>10.035</v>
          </cell>
          <cell r="I477">
            <v>11.25</v>
          </cell>
          <cell r="J477">
            <v>9.4500000000000011</v>
          </cell>
          <cell r="K477">
            <v>9.4500000000000011</v>
          </cell>
          <cell r="L477">
            <v>9.4500000000000011</v>
          </cell>
          <cell r="M477">
            <v>11.25</v>
          </cell>
          <cell r="N477">
            <v>14.0625</v>
          </cell>
          <cell r="O477">
            <v>11.812500000000002</v>
          </cell>
        </row>
        <row r="478">
          <cell r="C478" t="str">
            <v>Wire grip- 16mm</v>
          </cell>
          <cell r="D478">
            <v>15</v>
          </cell>
          <cell r="E478" t="str">
            <v>Nos</v>
          </cell>
          <cell r="F478" t="str">
            <v>2/02-GRS260/86</v>
          </cell>
          <cell r="G478">
            <v>16.725000000000001</v>
          </cell>
          <cell r="H478">
            <v>16.725000000000001</v>
          </cell>
          <cell r="I478">
            <v>18.75</v>
          </cell>
          <cell r="J478">
            <v>15.75</v>
          </cell>
          <cell r="K478">
            <v>15.75</v>
          </cell>
          <cell r="L478">
            <v>15.75</v>
          </cell>
          <cell r="M478">
            <v>18.75</v>
          </cell>
          <cell r="N478">
            <v>23.4375</v>
          </cell>
          <cell r="O478">
            <v>19.6875</v>
          </cell>
        </row>
        <row r="479">
          <cell r="C479" t="str">
            <v>Wire grip- 20mm</v>
          </cell>
          <cell r="D479">
            <v>19</v>
          </cell>
          <cell r="E479" t="str">
            <v>Nos</v>
          </cell>
          <cell r="F479" t="str">
            <v>8/92-GRS212/80</v>
          </cell>
          <cell r="G479">
            <v>21.184999999999999</v>
          </cell>
          <cell r="H479">
            <v>21.184999999999999</v>
          </cell>
          <cell r="I479">
            <v>23.75</v>
          </cell>
          <cell r="J479">
            <v>19.95</v>
          </cell>
          <cell r="K479">
            <v>19.95</v>
          </cell>
          <cell r="L479">
            <v>19.95</v>
          </cell>
          <cell r="M479">
            <v>23.75</v>
          </cell>
          <cell r="N479">
            <v>29.6875</v>
          </cell>
          <cell r="O479">
            <v>24.9375</v>
          </cell>
        </row>
        <row r="480">
          <cell r="C480" t="str">
            <v>GI Chain 12mm dia</v>
          </cell>
          <cell r="D480">
            <v>120</v>
          </cell>
          <cell r="E480" t="str">
            <v>Rmt</v>
          </cell>
          <cell r="G480">
            <v>133.80000000000001</v>
          </cell>
          <cell r="H480">
            <v>133.80000000000001</v>
          </cell>
          <cell r="I480">
            <v>150</v>
          </cell>
          <cell r="J480">
            <v>126</v>
          </cell>
          <cell r="K480">
            <v>126</v>
          </cell>
          <cell r="L480">
            <v>126</v>
          </cell>
          <cell r="M480">
            <v>150</v>
          </cell>
          <cell r="N480">
            <v>187.5</v>
          </cell>
          <cell r="O480">
            <v>157.5</v>
          </cell>
        </row>
        <row r="481">
          <cell r="C481" t="str">
            <v>GI Chain 16mm dia</v>
          </cell>
          <cell r="D481">
            <v>210</v>
          </cell>
          <cell r="E481" t="str">
            <v>Rmt</v>
          </cell>
          <cell r="G481">
            <v>234.15</v>
          </cell>
          <cell r="H481">
            <v>234.15</v>
          </cell>
          <cell r="I481">
            <v>262.5</v>
          </cell>
          <cell r="J481">
            <v>220.5</v>
          </cell>
          <cell r="K481">
            <v>220.5</v>
          </cell>
          <cell r="L481">
            <v>220.5</v>
          </cell>
          <cell r="M481">
            <v>262.5</v>
          </cell>
          <cell r="N481">
            <v>328.125</v>
          </cell>
          <cell r="O481">
            <v>275.625</v>
          </cell>
        </row>
        <row r="482">
          <cell r="C482" t="str">
            <v>GI Chain 20mm dia</v>
          </cell>
          <cell r="D482">
            <v>305</v>
          </cell>
          <cell r="E482" t="str">
            <v>Rmt</v>
          </cell>
          <cell r="G482">
            <v>340.07499999999999</v>
          </cell>
          <cell r="H482">
            <v>340.07499999999999</v>
          </cell>
          <cell r="I482">
            <v>381.25</v>
          </cell>
          <cell r="J482">
            <v>320.25</v>
          </cell>
          <cell r="K482">
            <v>320.25</v>
          </cell>
          <cell r="L482">
            <v>320.25</v>
          </cell>
          <cell r="M482">
            <v>381.25</v>
          </cell>
          <cell r="N482">
            <v>476.5625</v>
          </cell>
          <cell r="O482">
            <v>400.3125</v>
          </cell>
        </row>
        <row r="483">
          <cell r="C483" t="str">
            <v>GI Chain 32mm dia</v>
          </cell>
          <cell r="D483">
            <v>385</v>
          </cell>
          <cell r="E483" t="str">
            <v>Rmt</v>
          </cell>
          <cell r="G483">
            <v>429.27499999999998</v>
          </cell>
          <cell r="H483">
            <v>429.27499999999998</v>
          </cell>
          <cell r="I483">
            <v>481.25</v>
          </cell>
          <cell r="J483">
            <v>404.25</v>
          </cell>
          <cell r="K483">
            <v>404.25</v>
          </cell>
          <cell r="L483">
            <v>404.25</v>
          </cell>
          <cell r="M483">
            <v>481.25</v>
          </cell>
          <cell r="N483">
            <v>601.5625</v>
          </cell>
          <cell r="O483">
            <v>505.3125</v>
          </cell>
        </row>
        <row r="484">
          <cell r="C484" t="str">
            <v>Stud link chain 12 mm dia</v>
          </cell>
          <cell r="E484" t="str">
            <v>Rmt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Stud link chain 16 mm dia</v>
          </cell>
          <cell r="E485" t="str">
            <v>Rmt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Stud link chain 20 mm dia</v>
          </cell>
          <cell r="D486">
            <v>900</v>
          </cell>
          <cell r="E486" t="str">
            <v>Rmt</v>
          </cell>
          <cell r="F486" t="str">
            <v>1/99-GRS000/00</v>
          </cell>
          <cell r="G486">
            <v>1003.5</v>
          </cell>
          <cell r="H486">
            <v>1003.5</v>
          </cell>
          <cell r="I486">
            <v>1125</v>
          </cell>
          <cell r="J486">
            <v>945</v>
          </cell>
          <cell r="K486">
            <v>945</v>
          </cell>
          <cell r="L486">
            <v>945</v>
          </cell>
          <cell r="M486">
            <v>1125</v>
          </cell>
          <cell r="N486">
            <v>1406.25</v>
          </cell>
          <cell r="O486">
            <v>1181.25</v>
          </cell>
        </row>
        <row r="487">
          <cell r="C487" t="str">
            <v>Barbed wire (type- A)</v>
          </cell>
          <cell r="E487" t="str">
            <v>Kg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Barbed wire (type- B)</v>
          </cell>
          <cell r="D488">
            <v>50</v>
          </cell>
          <cell r="E488" t="str">
            <v>Kg</v>
          </cell>
          <cell r="F488" t="str">
            <v>12/04-GRS272/57</v>
          </cell>
          <cell r="G488">
            <v>55.75</v>
          </cell>
          <cell r="H488">
            <v>55.75</v>
          </cell>
          <cell r="I488">
            <v>62.5</v>
          </cell>
          <cell r="J488">
            <v>52.5</v>
          </cell>
          <cell r="K488">
            <v>52.5</v>
          </cell>
          <cell r="L488">
            <v>52.5</v>
          </cell>
          <cell r="M488">
            <v>62.5</v>
          </cell>
          <cell r="N488">
            <v>78.125</v>
          </cell>
          <cell r="O488">
            <v>65.625</v>
          </cell>
        </row>
        <row r="489">
          <cell r="C489" t="str">
            <v>Bentonite</v>
          </cell>
          <cell r="D489">
            <v>3137</v>
          </cell>
          <cell r="E489" t="str">
            <v>Mt</v>
          </cell>
          <cell r="G489">
            <v>3497.7550000000001</v>
          </cell>
          <cell r="H489">
            <v>3497.7550000000001</v>
          </cell>
          <cell r="I489">
            <v>3921.25</v>
          </cell>
          <cell r="J489">
            <v>3293.8500000000004</v>
          </cell>
          <cell r="K489">
            <v>3293.8500000000004</v>
          </cell>
          <cell r="L489">
            <v>3293.8500000000004</v>
          </cell>
          <cell r="M489">
            <v>3921.25</v>
          </cell>
          <cell r="N489">
            <v>4901.5625</v>
          </cell>
          <cell r="O489">
            <v>4117.3125</v>
          </cell>
        </row>
        <row r="490">
          <cell r="C490" t="str">
            <v>Wall form panel</v>
          </cell>
          <cell r="D490">
            <v>1180</v>
          </cell>
          <cell r="E490" t="str">
            <v>Each</v>
          </cell>
          <cell r="G490">
            <v>1315.7</v>
          </cell>
          <cell r="H490">
            <v>1315.7</v>
          </cell>
          <cell r="I490">
            <v>1475</v>
          </cell>
          <cell r="J490">
            <v>1239</v>
          </cell>
          <cell r="K490">
            <v>1274.4000000000001</v>
          </cell>
          <cell r="L490">
            <v>1239</v>
          </cell>
          <cell r="M490">
            <v>1475</v>
          </cell>
          <cell r="N490">
            <v>1843.75</v>
          </cell>
          <cell r="O490">
            <v>1548.75</v>
          </cell>
        </row>
        <row r="491">
          <cell r="C491" t="str">
            <v>Corner angle</v>
          </cell>
          <cell r="D491">
            <v>311</v>
          </cell>
          <cell r="E491" t="str">
            <v>Each</v>
          </cell>
          <cell r="G491">
            <v>346.76499999999999</v>
          </cell>
          <cell r="H491">
            <v>346.76499999999999</v>
          </cell>
          <cell r="I491">
            <v>388.75</v>
          </cell>
          <cell r="J491">
            <v>326.55</v>
          </cell>
          <cell r="K491">
            <v>335.88</v>
          </cell>
          <cell r="L491">
            <v>326.55</v>
          </cell>
          <cell r="M491">
            <v>388.75</v>
          </cell>
          <cell r="N491">
            <v>485.9375</v>
          </cell>
          <cell r="O491">
            <v>408.1875</v>
          </cell>
        </row>
        <row r="492">
          <cell r="C492" t="str">
            <v>100mm channel shoulders (2.5m Long)</v>
          </cell>
          <cell r="D492">
            <v>1282</v>
          </cell>
          <cell r="E492" t="str">
            <v>Each</v>
          </cell>
          <cell r="G492">
            <v>1429.43</v>
          </cell>
          <cell r="H492">
            <v>1429.43</v>
          </cell>
          <cell r="I492">
            <v>1602.5</v>
          </cell>
          <cell r="J492">
            <v>1346.1000000000001</v>
          </cell>
          <cell r="K492">
            <v>1384.5600000000002</v>
          </cell>
          <cell r="L492">
            <v>1346.1000000000001</v>
          </cell>
          <cell r="M492">
            <v>1602.5</v>
          </cell>
          <cell r="N492">
            <v>2003.125</v>
          </cell>
          <cell r="O492">
            <v>1682.6250000000002</v>
          </cell>
        </row>
        <row r="493">
          <cell r="C493" t="str">
            <v>Double clip</v>
          </cell>
          <cell r="D493">
            <v>86</v>
          </cell>
          <cell r="E493" t="str">
            <v>Each</v>
          </cell>
          <cell r="G493">
            <v>95.89</v>
          </cell>
          <cell r="H493">
            <v>95.89</v>
          </cell>
          <cell r="I493">
            <v>107.5</v>
          </cell>
          <cell r="J493">
            <v>90.3</v>
          </cell>
          <cell r="K493">
            <v>92.88000000000001</v>
          </cell>
          <cell r="L493">
            <v>90.3</v>
          </cell>
          <cell r="M493">
            <v>107.5</v>
          </cell>
          <cell r="N493">
            <v>134.375</v>
          </cell>
          <cell r="O493">
            <v>112.875</v>
          </cell>
        </row>
        <row r="494">
          <cell r="C494" t="str">
            <v>Single clip</v>
          </cell>
          <cell r="D494">
            <v>72</v>
          </cell>
          <cell r="E494" t="str">
            <v>Each</v>
          </cell>
          <cell r="G494">
            <v>80.28</v>
          </cell>
          <cell r="H494">
            <v>80.28</v>
          </cell>
          <cell r="I494">
            <v>90</v>
          </cell>
          <cell r="J494">
            <v>75.600000000000009</v>
          </cell>
          <cell r="K494">
            <v>77.760000000000005</v>
          </cell>
          <cell r="L494">
            <v>75.600000000000009</v>
          </cell>
          <cell r="M494">
            <v>90</v>
          </cell>
          <cell r="N494">
            <v>112.5</v>
          </cell>
          <cell r="O494">
            <v>94.500000000000014</v>
          </cell>
        </row>
        <row r="495"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Beam clamp</v>
          </cell>
          <cell r="D496">
            <v>428</v>
          </cell>
          <cell r="E496" t="str">
            <v>Each</v>
          </cell>
          <cell r="G496">
            <v>477.21999999999997</v>
          </cell>
          <cell r="H496">
            <v>477.21999999999997</v>
          </cell>
          <cell r="I496">
            <v>535</v>
          </cell>
          <cell r="J496">
            <v>449.40000000000003</v>
          </cell>
          <cell r="K496">
            <v>449.40000000000003</v>
          </cell>
          <cell r="L496">
            <v>449.40000000000003</v>
          </cell>
          <cell r="M496">
            <v>535</v>
          </cell>
          <cell r="N496">
            <v>668.75</v>
          </cell>
          <cell r="O496">
            <v>561.75</v>
          </cell>
        </row>
        <row r="497">
          <cell r="C497" t="str">
            <v>Column clamp</v>
          </cell>
          <cell r="D497">
            <v>1453</v>
          </cell>
          <cell r="E497" t="str">
            <v>Each</v>
          </cell>
          <cell r="G497">
            <v>1620.095</v>
          </cell>
          <cell r="H497">
            <v>1620.095</v>
          </cell>
          <cell r="I497">
            <v>1816.25</v>
          </cell>
          <cell r="J497">
            <v>1525.65</v>
          </cell>
          <cell r="K497">
            <v>1525.65</v>
          </cell>
          <cell r="L497">
            <v>1525.65</v>
          </cell>
          <cell r="M497">
            <v>1816.25</v>
          </cell>
          <cell r="N497">
            <v>2270.3125</v>
          </cell>
          <cell r="O497">
            <v>1907.0625</v>
          </cell>
        </row>
        <row r="498">
          <cell r="C498" t="str">
            <v>Prop 2m</v>
          </cell>
          <cell r="D498">
            <v>1017</v>
          </cell>
          <cell r="E498" t="str">
            <v>Each</v>
          </cell>
          <cell r="G498">
            <v>1133.9549999999999</v>
          </cell>
          <cell r="H498">
            <v>1133.9549999999999</v>
          </cell>
          <cell r="I498">
            <v>1271.25</v>
          </cell>
          <cell r="J498">
            <v>1067.8500000000001</v>
          </cell>
          <cell r="K498">
            <v>1067.8500000000001</v>
          </cell>
          <cell r="L498">
            <v>1067.8500000000001</v>
          </cell>
          <cell r="M498">
            <v>1271.25</v>
          </cell>
          <cell r="N498">
            <v>1589.0625</v>
          </cell>
          <cell r="O498">
            <v>1334.8125000000002</v>
          </cell>
        </row>
        <row r="499">
          <cell r="C499" t="str">
            <v>Props 3m</v>
          </cell>
          <cell r="D499">
            <v>1017</v>
          </cell>
          <cell r="E499" t="str">
            <v>Each</v>
          </cell>
          <cell r="G499">
            <v>1133.9549999999999</v>
          </cell>
          <cell r="H499">
            <v>1133.9549999999999</v>
          </cell>
          <cell r="I499">
            <v>1271.25</v>
          </cell>
          <cell r="J499">
            <v>1067.8500000000001</v>
          </cell>
          <cell r="K499">
            <v>1067.8500000000001</v>
          </cell>
          <cell r="L499">
            <v>1067.8500000000001</v>
          </cell>
          <cell r="M499">
            <v>1271.25</v>
          </cell>
          <cell r="N499">
            <v>1589.0625</v>
          </cell>
          <cell r="O499">
            <v>1334.8125000000002</v>
          </cell>
        </row>
        <row r="500">
          <cell r="C500" t="str">
            <v>Plates</v>
          </cell>
          <cell r="D500">
            <v>3143</v>
          </cell>
          <cell r="E500" t="str">
            <v>Qtls</v>
          </cell>
          <cell r="G500">
            <v>3504.4450000000002</v>
          </cell>
          <cell r="H500">
            <v>3504.4450000000002</v>
          </cell>
          <cell r="I500">
            <v>3928.75</v>
          </cell>
          <cell r="J500">
            <v>3300.15</v>
          </cell>
          <cell r="K500">
            <v>3300.15</v>
          </cell>
          <cell r="L500">
            <v>3300.15</v>
          </cell>
          <cell r="M500">
            <v>3928.75</v>
          </cell>
          <cell r="N500">
            <v>4910.9375</v>
          </cell>
          <cell r="O500">
            <v>4125.1875</v>
          </cell>
        </row>
        <row r="501">
          <cell r="C501" t="str">
            <v>Adjustable span</v>
          </cell>
          <cell r="D501">
            <v>1872</v>
          </cell>
          <cell r="E501" t="str">
            <v>Each</v>
          </cell>
          <cell r="G501">
            <v>2087.2800000000002</v>
          </cell>
          <cell r="H501">
            <v>2087.2800000000002</v>
          </cell>
          <cell r="I501">
            <v>2340</v>
          </cell>
          <cell r="J501">
            <v>1965.6000000000001</v>
          </cell>
          <cell r="K501">
            <v>1965.6000000000001</v>
          </cell>
          <cell r="L501">
            <v>1965.6000000000001</v>
          </cell>
          <cell r="M501">
            <v>2340</v>
          </cell>
          <cell r="N501">
            <v>2925</v>
          </cell>
          <cell r="O501">
            <v>2457</v>
          </cell>
        </row>
        <row r="502">
          <cell r="C502" t="str">
            <v>MS round holding down bolts</v>
          </cell>
          <cell r="E502" t="str">
            <v>Cum</v>
          </cell>
          <cell r="G502">
            <v>0</v>
          </cell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E503" t="str">
            <v>Each</v>
          </cell>
          <cell r="G503">
            <v>0</v>
          </cell>
          <cell r="H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E504" t="str">
            <v>Each</v>
          </cell>
          <cell r="G504">
            <v>0</v>
          </cell>
          <cell r="H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C505" t="str">
            <v>1 Time</v>
          </cell>
          <cell r="D505">
            <v>2.5799719999999997</v>
          </cell>
          <cell r="E505" t="str">
            <v>time</v>
          </cell>
          <cell r="G505">
            <v>3.62</v>
          </cell>
          <cell r="H505">
            <v>3.62</v>
          </cell>
          <cell r="I505">
            <v>6.1599279999999998</v>
          </cell>
          <cell r="J505">
            <v>2.7089705999999998</v>
          </cell>
          <cell r="K505">
            <v>2.88</v>
          </cell>
          <cell r="L505">
            <v>2.88</v>
          </cell>
          <cell r="M505">
            <v>3.2249649999999996</v>
          </cell>
          <cell r="N505">
            <v>6.1599279999999998</v>
          </cell>
          <cell r="O505">
            <v>6.1599279999999998</v>
          </cell>
        </row>
        <row r="506">
          <cell r="C506" t="str">
            <v>Micro Concrete Chemical</v>
          </cell>
          <cell r="D506">
            <v>22.32</v>
          </cell>
          <cell r="E506" t="str">
            <v>Kgs</v>
          </cell>
          <cell r="G506">
            <v>24.886800000000001</v>
          </cell>
          <cell r="H506">
            <v>24.886800000000001</v>
          </cell>
          <cell r="I506">
            <v>27.9</v>
          </cell>
          <cell r="J506">
            <v>23.436</v>
          </cell>
          <cell r="K506">
            <v>23.436</v>
          </cell>
          <cell r="L506">
            <v>23.436</v>
          </cell>
          <cell r="M506">
            <v>27.9</v>
          </cell>
          <cell r="N506">
            <v>34.875</v>
          </cell>
          <cell r="O506">
            <v>29.295000000000002</v>
          </cell>
        </row>
        <row r="507">
          <cell r="C507" t="str">
            <v>Conbextra MR</v>
          </cell>
          <cell r="E507" t="str">
            <v>Kgs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Sacrificial Anode</v>
          </cell>
          <cell r="D508">
            <v>945</v>
          </cell>
          <cell r="E508" t="str">
            <v>Nos</v>
          </cell>
          <cell r="G508">
            <v>1053.675</v>
          </cell>
          <cell r="H508">
            <v>1053.675</v>
          </cell>
          <cell r="I508">
            <v>1181.25</v>
          </cell>
          <cell r="J508">
            <v>992.25</v>
          </cell>
          <cell r="K508">
            <v>992.25</v>
          </cell>
          <cell r="L508">
            <v>992.25</v>
          </cell>
          <cell r="M508">
            <v>1181.25</v>
          </cell>
          <cell r="N508">
            <v>1476.5625</v>
          </cell>
          <cell r="O508">
            <v>1240.3125</v>
          </cell>
        </row>
        <row r="509">
          <cell r="C509" t="str">
            <v>Epoxy Bonding Agent</v>
          </cell>
          <cell r="D509">
            <v>425</v>
          </cell>
          <cell r="E509" t="str">
            <v>Ltrs</v>
          </cell>
          <cell r="G509">
            <v>473.875</v>
          </cell>
          <cell r="H509">
            <v>473.875</v>
          </cell>
          <cell r="I509">
            <v>531.25</v>
          </cell>
          <cell r="J509">
            <v>446.25</v>
          </cell>
          <cell r="K509">
            <v>446.25</v>
          </cell>
          <cell r="L509">
            <v>446.25</v>
          </cell>
          <cell r="M509">
            <v>531.25</v>
          </cell>
          <cell r="N509">
            <v>664.0625</v>
          </cell>
          <cell r="O509">
            <v>557.8125</v>
          </cell>
        </row>
        <row r="510">
          <cell r="C510" t="str">
            <v>Epoxy Based Primer</v>
          </cell>
          <cell r="D510">
            <v>202</v>
          </cell>
          <cell r="E510" t="str">
            <v>Ltrs</v>
          </cell>
          <cell r="G510">
            <v>225.23</v>
          </cell>
          <cell r="H510">
            <v>225.23</v>
          </cell>
          <cell r="I510">
            <v>252.5</v>
          </cell>
          <cell r="J510">
            <v>212.10000000000002</v>
          </cell>
          <cell r="K510">
            <v>212.10000000000002</v>
          </cell>
          <cell r="L510">
            <v>212.10000000000002</v>
          </cell>
          <cell r="M510">
            <v>252.5</v>
          </cell>
          <cell r="N510">
            <v>315.625</v>
          </cell>
          <cell r="O510">
            <v>265.125</v>
          </cell>
        </row>
        <row r="511">
          <cell r="C511" t="str">
            <v>UV Resistant Coating paint</v>
          </cell>
          <cell r="D511">
            <v>271</v>
          </cell>
          <cell r="E511" t="str">
            <v>Ltrs</v>
          </cell>
          <cell r="G511">
            <v>302.16500000000002</v>
          </cell>
          <cell r="H511">
            <v>302.16500000000002</v>
          </cell>
          <cell r="I511">
            <v>338.75</v>
          </cell>
          <cell r="J511">
            <v>284.55</v>
          </cell>
          <cell r="K511">
            <v>284.55</v>
          </cell>
          <cell r="L511">
            <v>284.55</v>
          </cell>
          <cell r="M511">
            <v>338.75</v>
          </cell>
          <cell r="N511">
            <v>423.4375</v>
          </cell>
          <cell r="O511">
            <v>355.6875</v>
          </cell>
        </row>
        <row r="512">
          <cell r="C512" t="str">
            <v>Nito Bond AR</v>
          </cell>
          <cell r="D512">
            <v>1250</v>
          </cell>
          <cell r="E512" t="str">
            <v>Kgs</v>
          </cell>
          <cell r="G512">
            <v>1393.75</v>
          </cell>
          <cell r="H512">
            <v>1393.75</v>
          </cell>
          <cell r="I512">
            <v>1562.5</v>
          </cell>
          <cell r="J512">
            <v>1312.5</v>
          </cell>
          <cell r="K512">
            <v>1312.5</v>
          </cell>
          <cell r="L512">
            <v>1312.5</v>
          </cell>
          <cell r="M512">
            <v>1562.5</v>
          </cell>
          <cell r="N512">
            <v>1953.125</v>
          </cell>
          <cell r="O512">
            <v>1640.625</v>
          </cell>
        </row>
        <row r="513">
          <cell r="C513" t="str">
            <v>Epoxy Zinc Primer</v>
          </cell>
          <cell r="D513">
            <v>701</v>
          </cell>
          <cell r="E513" t="str">
            <v>Ltrs</v>
          </cell>
          <cell r="G513">
            <v>781.61500000000001</v>
          </cell>
          <cell r="H513">
            <v>781.61500000000001</v>
          </cell>
          <cell r="I513">
            <v>876.25</v>
          </cell>
          <cell r="J513">
            <v>736.05000000000007</v>
          </cell>
          <cell r="K513">
            <v>736.05000000000007</v>
          </cell>
          <cell r="L513">
            <v>736.05000000000007</v>
          </cell>
          <cell r="M513">
            <v>876.25</v>
          </cell>
          <cell r="N513">
            <v>1095.3125</v>
          </cell>
          <cell r="O513">
            <v>920.06250000000011</v>
          </cell>
        </row>
        <row r="514">
          <cell r="C514" t="str">
            <v>Polyester Resin NitoMortar PE</v>
          </cell>
          <cell r="D514">
            <v>2200</v>
          </cell>
          <cell r="E514" t="str">
            <v>5Ltrs</v>
          </cell>
          <cell r="G514">
            <v>2453</v>
          </cell>
          <cell r="H514">
            <v>2453</v>
          </cell>
          <cell r="I514">
            <v>2750</v>
          </cell>
          <cell r="J514">
            <v>2310</v>
          </cell>
          <cell r="K514">
            <v>2310</v>
          </cell>
          <cell r="L514">
            <v>2310</v>
          </cell>
          <cell r="M514">
            <v>2750</v>
          </cell>
          <cell r="N514">
            <v>3437.5</v>
          </cell>
          <cell r="O514">
            <v>2887.5</v>
          </cell>
        </row>
        <row r="515">
          <cell r="C515" t="str">
            <v>Conbextra EPLV</v>
          </cell>
          <cell r="D515">
            <v>1300</v>
          </cell>
          <cell r="E515" t="str">
            <v>Ltrs</v>
          </cell>
          <cell r="G515">
            <v>1449.5</v>
          </cell>
          <cell r="H515">
            <v>1449.5</v>
          </cell>
          <cell r="I515">
            <v>1625</v>
          </cell>
          <cell r="J515">
            <v>1365</v>
          </cell>
          <cell r="K515">
            <v>1365</v>
          </cell>
          <cell r="L515">
            <v>1365</v>
          </cell>
          <cell r="M515">
            <v>1625</v>
          </cell>
          <cell r="N515">
            <v>2031.25</v>
          </cell>
          <cell r="O515">
            <v>1706.25</v>
          </cell>
        </row>
        <row r="516">
          <cell r="C516" t="str">
            <v>Nito Coat VF</v>
          </cell>
          <cell r="D516">
            <v>840</v>
          </cell>
          <cell r="E516" t="str">
            <v>Ltrs</v>
          </cell>
          <cell r="G516">
            <v>936.6</v>
          </cell>
          <cell r="H516">
            <v>936.6</v>
          </cell>
          <cell r="I516">
            <v>1050</v>
          </cell>
          <cell r="J516">
            <v>882</v>
          </cell>
          <cell r="K516">
            <v>882</v>
          </cell>
          <cell r="L516">
            <v>882</v>
          </cell>
          <cell r="M516">
            <v>1050</v>
          </cell>
          <cell r="N516">
            <v>1312.5</v>
          </cell>
          <cell r="O516">
            <v>1102.5</v>
          </cell>
        </row>
        <row r="517">
          <cell r="C517" t="str">
            <v>Nitowrap 30</v>
          </cell>
          <cell r="D517">
            <v>825</v>
          </cell>
          <cell r="E517" t="str">
            <v>Ltrs</v>
          </cell>
          <cell r="G517">
            <v>919.875</v>
          </cell>
          <cell r="H517">
            <v>919.875</v>
          </cell>
          <cell r="I517">
            <v>1031.25</v>
          </cell>
          <cell r="J517">
            <v>866.25</v>
          </cell>
          <cell r="K517">
            <v>866.25</v>
          </cell>
          <cell r="L517">
            <v>866.25</v>
          </cell>
          <cell r="M517">
            <v>1031.25</v>
          </cell>
          <cell r="N517">
            <v>1289.0625</v>
          </cell>
          <cell r="O517">
            <v>1082.8125</v>
          </cell>
        </row>
        <row r="518">
          <cell r="C518" t="str">
            <v>Nitowrap 410</v>
          </cell>
          <cell r="D518">
            <v>700</v>
          </cell>
          <cell r="E518" t="str">
            <v>Ltr</v>
          </cell>
          <cell r="G518">
            <v>780.5</v>
          </cell>
          <cell r="H518">
            <v>780.5</v>
          </cell>
          <cell r="I518">
            <v>875</v>
          </cell>
          <cell r="J518">
            <v>735</v>
          </cell>
          <cell r="K518">
            <v>735</v>
          </cell>
          <cell r="L518">
            <v>735</v>
          </cell>
          <cell r="M518">
            <v>875</v>
          </cell>
          <cell r="N518">
            <v>1093.75</v>
          </cell>
          <cell r="O518">
            <v>918.75</v>
          </cell>
        </row>
        <row r="519">
          <cell r="C519" t="str">
            <v>Nitowrap EP (CF)</v>
          </cell>
          <cell r="D519">
            <v>2100</v>
          </cell>
          <cell r="E519" t="str">
            <v>Sqm</v>
          </cell>
          <cell r="G519">
            <v>2341.5</v>
          </cell>
          <cell r="H519">
            <v>2341.5</v>
          </cell>
          <cell r="I519">
            <v>2625</v>
          </cell>
          <cell r="J519">
            <v>2205</v>
          </cell>
          <cell r="K519">
            <v>2205</v>
          </cell>
          <cell r="L519">
            <v>2205</v>
          </cell>
          <cell r="M519">
            <v>2625</v>
          </cell>
          <cell r="N519">
            <v>3281.25</v>
          </cell>
          <cell r="O519">
            <v>2756.25</v>
          </cell>
        </row>
        <row r="520">
          <cell r="C520" t="str">
            <v>Conbextra UW MR</v>
          </cell>
          <cell r="D520">
            <v>52</v>
          </cell>
          <cell r="E520" t="str">
            <v>Kg</v>
          </cell>
          <cell r="G520">
            <v>57.98</v>
          </cell>
          <cell r="H520">
            <v>57.98</v>
          </cell>
          <cell r="I520">
            <v>65</v>
          </cell>
          <cell r="J520">
            <v>54.6</v>
          </cell>
          <cell r="K520">
            <v>54.6</v>
          </cell>
          <cell r="L520">
            <v>54.6</v>
          </cell>
          <cell r="M520">
            <v>65</v>
          </cell>
          <cell r="N520">
            <v>81.25</v>
          </cell>
          <cell r="O520">
            <v>68.25</v>
          </cell>
        </row>
        <row r="521">
          <cell r="C521" t="str">
            <v>Seal Rings</v>
          </cell>
          <cell r="D521">
            <v>15</v>
          </cell>
          <cell r="E521" t="str">
            <v>m</v>
          </cell>
          <cell r="G521">
            <v>16.725000000000001</v>
          </cell>
          <cell r="H521">
            <v>16.725000000000001</v>
          </cell>
          <cell r="I521">
            <v>18.75</v>
          </cell>
          <cell r="J521">
            <v>15.75</v>
          </cell>
          <cell r="K521">
            <v>15.75</v>
          </cell>
          <cell r="L521">
            <v>15.75</v>
          </cell>
          <cell r="M521">
            <v>18.75</v>
          </cell>
          <cell r="N521">
            <v>23.4375</v>
          </cell>
          <cell r="O521">
            <v>19.6875</v>
          </cell>
        </row>
        <row r="522">
          <cell r="C522" t="str">
            <v>Curing membrane</v>
          </cell>
          <cell r="D522">
            <v>75</v>
          </cell>
          <cell r="E522" t="str">
            <v>Kg</v>
          </cell>
          <cell r="G522">
            <v>83.625</v>
          </cell>
          <cell r="H522">
            <v>83.625</v>
          </cell>
          <cell r="I522">
            <v>93.75</v>
          </cell>
          <cell r="J522">
            <v>78.75</v>
          </cell>
          <cell r="K522">
            <v>78.75</v>
          </cell>
          <cell r="L522">
            <v>78.75</v>
          </cell>
          <cell r="M522">
            <v>93.75</v>
          </cell>
          <cell r="N522">
            <v>117.1875</v>
          </cell>
          <cell r="O522">
            <v>98.4375</v>
          </cell>
        </row>
        <row r="523">
          <cell r="C523" t="str">
            <v>Stainless Steel Hinges (IS 12817)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125 x 64 x 1.9mm</v>
          </cell>
          <cell r="D524">
            <v>28</v>
          </cell>
          <cell r="E524" t="str">
            <v>Each</v>
          </cell>
          <cell r="G524">
            <v>31.22</v>
          </cell>
          <cell r="H524">
            <v>31.22</v>
          </cell>
          <cell r="I524">
            <v>35</v>
          </cell>
          <cell r="J524">
            <v>29.400000000000002</v>
          </cell>
          <cell r="K524">
            <v>29.400000000000002</v>
          </cell>
          <cell r="L524">
            <v>29.400000000000002</v>
          </cell>
          <cell r="M524">
            <v>35</v>
          </cell>
          <cell r="N524">
            <v>43.75</v>
          </cell>
          <cell r="O524">
            <v>36.75</v>
          </cell>
        </row>
        <row r="525">
          <cell r="C525" t="str">
            <v>100 x 58 x 1.9mm</v>
          </cell>
          <cell r="D525">
            <v>22</v>
          </cell>
          <cell r="E525" t="str">
            <v>Each</v>
          </cell>
          <cell r="G525">
            <v>24.53</v>
          </cell>
          <cell r="H525">
            <v>24.53</v>
          </cell>
          <cell r="I525">
            <v>27.5</v>
          </cell>
          <cell r="J525">
            <v>23.1</v>
          </cell>
          <cell r="K525">
            <v>23.1</v>
          </cell>
          <cell r="L525">
            <v>23.1</v>
          </cell>
          <cell r="M525">
            <v>27.5</v>
          </cell>
          <cell r="N525">
            <v>34.375</v>
          </cell>
          <cell r="O525">
            <v>28.875</v>
          </cell>
        </row>
        <row r="526">
          <cell r="C526" t="str">
            <v>75 x 47 x 1.8mm</v>
          </cell>
          <cell r="D526">
            <v>15</v>
          </cell>
          <cell r="E526" t="str">
            <v>Each</v>
          </cell>
          <cell r="G526">
            <v>16.725000000000001</v>
          </cell>
          <cell r="H526">
            <v>16.725000000000001</v>
          </cell>
          <cell r="I526">
            <v>18.75</v>
          </cell>
          <cell r="J526">
            <v>15.75</v>
          </cell>
          <cell r="K526">
            <v>15.75</v>
          </cell>
          <cell r="L526">
            <v>15.75</v>
          </cell>
          <cell r="M526">
            <v>18.75</v>
          </cell>
          <cell r="N526">
            <v>23.4375</v>
          </cell>
          <cell r="O526">
            <v>19.6875</v>
          </cell>
        </row>
        <row r="527">
          <cell r="C527" t="str">
            <v>50 x 37 x 1.5mm</v>
          </cell>
          <cell r="D527">
            <v>12</v>
          </cell>
          <cell r="E527" t="str">
            <v>Each</v>
          </cell>
          <cell r="G527">
            <v>13.379999999999999</v>
          </cell>
          <cell r="H527">
            <v>13.379999999999999</v>
          </cell>
          <cell r="I527">
            <v>15</v>
          </cell>
          <cell r="J527">
            <v>12.600000000000001</v>
          </cell>
          <cell r="K527">
            <v>12.600000000000001</v>
          </cell>
          <cell r="L527">
            <v>12.600000000000001</v>
          </cell>
          <cell r="M527">
            <v>15</v>
          </cell>
          <cell r="N527">
            <v>18.75</v>
          </cell>
          <cell r="O527">
            <v>15.750000000000002</v>
          </cell>
        </row>
        <row r="528">
          <cell r="C528" t="str">
            <v>Al. Single rubber stopper</v>
          </cell>
          <cell r="D528">
            <v>40</v>
          </cell>
          <cell r="E528" t="str">
            <v>Each</v>
          </cell>
          <cell r="G528">
            <v>44.6</v>
          </cell>
          <cell r="H528">
            <v>44.6</v>
          </cell>
          <cell r="I528">
            <v>50</v>
          </cell>
          <cell r="J528">
            <v>42</v>
          </cell>
          <cell r="K528">
            <v>42</v>
          </cell>
          <cell r="L528">
            <v>42</v>
          </cell>
          <cell r="M528">
            <v>50</v>
          </cell>
          <cell r="N528">
            <v>62.5</v>
          </cell>
          <cell r="O528">
            <v>52.5</v>
          </cell>
        </row>
        <row r="529">
          <cell r="C529" t="str">
            <v>Al. Double rubber stopper</v>
          </cell>
          <cell r="D529">
            <v>62</v>
          </cell>
          <cell r="E529" t="str">
            <v>Each</v>
          </cell>
          <cell r="G529">
            <v>69.13</v>
          </cell>
          <cell r="H529">
            <v>69.13</v>
          </cell>
          <cell r="I529">
            <v>77.5</v>
          </cell>
          <cell r="J529">
            <v>65.100000000000009</v>
          </cell>
          <cell r="K529">
            <v>65.100000000000009</v>
          </cell>
          <cell r="L529">
            <v>65.100000000000009</v>
          </cell>
          <cell r="M529">
            <v>77.5</v>
          </cell>
          <cell r="N529">
            <v>96.875</v>
          </cell>
          <cell r="O529">
            <v>81.375000000000014</v>
          </cell>
        </row>
        <row r="530">
          <cell r="C530" t="str">
            <v>12mm thick particle board</v>
          </cell>
          <cell r="D530">
            <v>774</v>
          </cell>
          <cell r="G530">
            <v>863.01</v>
          </cell>
          <cell r="H530">
            <v>863.01</v>
          </cell>
          <cell r="I530">
            <v>967.5</v>
          </cell>
          <cell r="J530">
            <v>812.7</v>
          </cell>
          <cell r="K530">
            <v>812.7</v>
          </cell>
          <cell r="L530">
            <v>812.7</v>
          </cell>
          <cell r="M530">
            <v>967.5</v>
          </cell>
          <cell r="N530">
            <v>1209.375</v>
          </cell>
          <cell r="O530">
            <v>1015.875</v>
          </cell>
        </row>
        <row r="531">
          <cell r="C531" t="str">
            <v>Ceiling cleats</v>
          </cell>
          <cell r="D531">
            <v>252</v>
          </cell>
          <cell r="G531">
            <v>280.98</v>
          </cell>
          <cell r="H531">
            <v>280.98</v>
          </cell>
          <cell r="I531">
            <v>315</v>
          </cell>
          <cell r="J531">
            <v>264.60000000000002</v>
          </cell>
          <cell r="K531">
            <v>264.60000000000002</v>
          </cell>
          <cell r="L531">
            <v>264.60000000000002</v>
          </cell>
          <cell r="M531">
            <v>315</v>
          </cell>
          <cell r="N531">
            <v>393.75</v>
          </cell>
          <cell r="O531">
            <v>330.75</v>
          </cell>
        </row>
        <row r="532">
          <cell r="C532" t="str">
            <v>Adjustable MS Hanger 6mm dia ( 1.2m max.)</v>
          </cell>
          <cell r="D532">
            <v>24</v>
          </cell>
          <cell r="G532">
            <v>26.759999999999998</v>
          </cell>
          <cell r="H532">
            <v>26.759999999999998</v>
          </cell>
          <cell r="I532">
            <v>30</v>
          </cell>
          <cell r="J532">
            <v>25.200000000000003</v>
          </cell>
          <cell r="K532">
            <v>25.200000000000003</v>
          </cell>
          <cell r="L532">
            <v>25.200000000000003</v>
          </cell>
          <cell r="M532">
            <v>30</v>
          </cell>
          <cell r="N532">
            <v>37.5</v>
          </cell>
          <cell r="O532">
            <v>31.500000000000004</v>
          </cell>
        </row>
        <row r="533">
          <cell r="C533" t="str">
            <v>Double action hydraulic Floor Spring with brass cover</v>
          </cell>
          <cell r="D533">
            <v>2410</v>
          </cell>
          <cell r="G533">
            <v>2687.15</v>
          </cell>
          <cell r="H533">
            <v>2687.15</v>
          </cell>
          <cell r="I533">
            <v>3012.5</v>
          </cell>
          <cell r="J533">
            <v>2530.5</v>
          </cell>
          <cell r="K533">
            <v>2530.5</v>
          </cell>
          <cell r="L533">
            <v>2530.5</v>
          </cell>
          <cell r="M533">
            <v>3012.5</v>
          </cell>
          <cell r="N533">
            <v>3765.625</v>
          </cell>
          <cell r="O533">
            <v>3163.125</v>
          </cell>
        </row>
        <row r="534">
          <cell r="C534" t="str">
            <v>Bitumen Sollution Primer</v>
          </cell>
          <cell r="D534">
            <v>31</v>
          </cell>
          <cell r="E534" t="str">
            <v>Ltr</v>
          </cell>
          <cell r="G534">
            <v>34.564999999999998</v>
          </cell>
          <cell r="H534">
            <v>34.564999999999998</v>
          </cell>
          <cell r="I534">
            <v>38.75</v>
          </cell>
          <cell r="J534">
            <v>32.550000000000004</v>
          </cell>
          <cell r="K534">
            <v>32.550000000000004</v>
          </cell>
          <cell r="L534">
            <v>32.550000000000004</v>
          </cell>
          <cell r="M534">
            <v>38.75</v>
          </cell>
          <cell r="N534">
            <v>48.4375</v>
          </cell>
          <cell r="O534">
            <v>40.687500000000007</v>
          </cell>
        </row>
        <row r="535">
          <cell r="C535" t="str">
            <v>Bitumen Felt Fibre based Type II Grade II</v>
          </cell>
          <cell r="D535">
            <v>109</v>
          </cell>
          <cell r="E535" t="str">
            <v>Sqm</v>
          </cell>
          <cell r="G535">
            <v>121.535</v>
          </cell>
          <cell r="H535">
            <v>121.535</v>
          </cell>
          <cell r="I535">
            <v>136.25</v>
          </cell>
          <cell r="J535">
            <v>114.45</v>
          </cell>
          <cell r="K535">
            <v>114.45</v>
          </cell>
          <cell r="L535">
            <v>114.45</v>
          </cell>
          <cell r="M535">
            <v>136.25</v>
          </cell>
          <cell r="N535">
            <v>170.3125</v>
          </cell>
          <cell r="O535">
            <v>143.0625</v>
          </cell>
        </row>
        <row r="536">
          <cell r="C536" t="str">
            <v>Joint Sealing ompounds (Grade A)</v>
          </cell>
          <cell r="D536">
            <v>22</v>
          </cell>
          <cell r="E536" t="str">
            <v>Kg</v>
          </cell>
          <cell r="G536">
            <v>24.53</v>
          </cell>
          <cell r="H536">
            <v>24.53</v>
          </cell>
          <cell r="I536">
            <v>27.5</v>
          </cell>
          <cell r="J536">
            <v>23.1</v>
          </cell>
          <cell r="K536">
            <v>23.1</v>
          </cell>
          <cell r="L536">
            <v>23.1</v>
          </cell>
          <cell r="M536">
            <v>27.5</v>
          </cell>
          <cell r="N536">
            <v>34.375</v>
          </cell>
          <cell r="O536">
            <v>28.875</v>
          </cell>
        </row>
        <row r="537">
          <cell r="C537" t="str">
            <v>Sliding Bolt Aluminium 250 x 16 mm</v>
          </cell>
          <cell r="D537">
            <v>106</v>
          </cell>
          <cell r="E537" t="str">
            <v>Nos</v>
          </cell>
          <cell r="G537">
            <v>118.19</v>
          </cell>
          <cell r="H537">
            <v>118.19</v>
          </cell>
          <cell r="I537">
            <v>132.5</v>
          </cell>
          <cell r="J537">
            <v>111.30000000000001</v>
          </cell>
          <cell r="K537">
            <v>111.30000000000001</v>
          </cell>
          <cell r="L537">
            <v>111.30000000000001</v>
          </cell>
          <cell r="M537">
            <v>132.5</v>
          </cell>
          <cell r="N537">
            <v>165.625</v>
          </cell>
          <cell r="O537">
            <v>139.125</v>
          </cell>
        </row>
        <row r="538">
          <cell r="C538" t="str">
            <v>Electrical Metrials</v>
          </cell>
          <cell r="G538" t="str">
            <v>Hut Bay</v>
          </cell>
          <cell r="H538" t="str">
            <v>Carnicobar</v>
          </cell>
          <cell r="I538" t="str">
            <v>Campbel Bay</v>
          </cell>
          <cell r="J538" t="str">
            <v>Rangat</v>
          </cell>
          <cell r="K538" t="str">
            <v>Diglipur</v>
          </cell>
          <cell r="M538">
            <v>0</v>
          </cell>
          <cell r="N538" t="str">
            <v>Campbel Bay</v>
          </cell>
          <cell r="O538" t="str">
            <v>Campbel Bay</v>
          </cell>
        </row>
        <row r="539">
          <cell r="C539" t="str">
            <v xml:space="preserve">1.5 Sq.mm PVC insulated copper conductor </v>
          </cell>
          <cell r="D539">
            <v>6.9</v>
          </cell>
          <cell r="E539" t="str">
            <v>mts</v>
          </cell>
          <cell r="G539">
            <v>7.6935000000000002</v>
          </cell>
          <cell r="H539">
            <v>7.6935000000000002</v>
          </cell>
          <cell r="I539">
            <v>8.625</v>
          </cell>
          <cell r="J539">
            <v>7.245000000000001</v>
          </cell>
          <cell r="K539">
            <v>7.245000000000001</v>
          </cell>
          <cell r="L539">
            <v>7.245000000000001</v>
          </cell>
          <cell r="M539">
            <v>8.625</v>
          </cell>
          <cell r="N539">
            <v>10.78125</v>
          </cell>
          <cell r="O539">
            <v>9.0562500000000021</v>
          </cell>
        </row>
        <row r="540">
          <cell r="C540" t="str">
            <v>20 mm dia, PVC conduit</v>
          </cell>
          <cell r="D540">
            <v>11.666666666666666</v>
          </cell>
          <cell r="E540" t="str">
            <v>mts</v>
          </cell>
          <cell r="G540">
            <v>13.008333333333333</v>
          </cell>
          <cell r="H540">
            <v>13.008333333333333</v>
          </cell>
          <cell r="I540">
            <v>14.583333333333332</v>
          </cell>
          <cell r="J540">
            <v>12.25</v>
          </cell>
          <cell r="K540">
            <v>12.25</v>
          </cell>
          <cell r="L540">
            <v>12.25</v>
          </cell>
          <cell r="M540">
            <v>14.583333333333332</v>
          </cell>
          <cell r="N540">
            <v>18.229166666666664</v>
          </cell>
          <cell r="O540">
            <v>15.3125</v>
          </cell>
        </row>
        <row r="541">
          <cell r="C541" t="str">
            <v xml:space="preserve">20 mm PVC bends </v>
          </cell>
          <cell r="D541">
            <v>3</v>
          </cell>
          <cell r="E541" t="str">
            <v>Nos</v>
          </cell>
          <cell r="G541">
            <v>3.3449999999999998</v>
          </cell>
          <cell r="H541">
            <v>3.3449999999999998</v>
          </cell>
          <cell r="I541">
            <v>3.75</v>
          </cell>
          <cell r="J541">
            <v>3.1500000000000004</v>
          </cell>
          <cell r="K541">
            <v>3.1500000000000004</v>
          </cell>
          <cell r="L541">
            <v>3.1500000000000004</v>
          </cell>
          <cell r="M541">
            <v>3.75</v>
          </cell>
          <cell r="N541">
            <v>4.6875</v>
          </cell>
          <cell r="O541">
            <v>3.9375000000000004</v>
          </cell>
        </row>
        <row r="542">
          <cell r="C542" t="str">
            <v>20 mm PVC couplers</v>
          </cell>
          <cell r="D542">
            <v>2</v>
          </cell>
          <cell r="E542" t="str">
            <v>Nos</v>
          </cell>
          <cell r="G542">
            <v>2.23</v>
          </cell>
          <cell r="H542">
            <v>2.23</v>
          </cell>
          <cell r="I542">
            <v>2.5</v>
          </cell>
          <cell r="J542">
            <v>2.1</v>
          </cell>
          <cell r="K542">
            <v>2.1</v>
          </cell>
          <cell r="L542">
            <v>2.1</v>
          </cell>
          <cell r="M542">
            <v>2.5</v>
          </cell>
          <cell r="N542">
            <v>3.125</v>
          </cell>
          <cell r="O542">
            <v>2.625</v>
          </cell>
        </row>
        <row r="543">
          <cell r="C543" t="str">
            <v>20 mm Iron stappies/ saddies/ Screws</v>
          </cell>
          <cell r="D543">
            <v>0.5</v>
          </cell>
          <cell r="E543" t="str">
            <v>Nos</v>
          </cell>
          <cell r="G543">
            <v>0.5575</v>
          </cell>
          <cell r="H543">
            <v>0.5575</v>
          </cell>
          <cell r="I543">
            <v>0.625</v>
          </cell>
          <cell r="J543">
            <v>0.52500000000000002</v>
          </cell>
          <cell r="K543">
            <v>0.52500000000000002</v>
          </cell>
          <cell r="L543">
            <v>0.52500000000000002</v>
          </cell>
          <cell r="M543">
            <v>0.625</v>
          </cell>
          <cell r="N543">
            <v>0.78125</v>
          </cell>
          <cell r="O543">
            <v>0.65625</v>
          </cell>
        </row>
        <row r="544">
          <cell r="C544" t="str">
            <v>Al. alloy/ Cadmium plated iron screw 20mm</v>
          </cell>
          <cell r="D544">
            <v>25</v>
          </cell>
          <cell r="E544" t="str">
            <v>Pkt</v>
          </cell>
          <cell r="G544">
            <v>27.875</v>
          </cell>
          <cell r="H544">
            <v>27.875</v>
          </cell>
          <cell r="I544">
            <v>31.25</v>
          </cell>
          <cell r="J544">
            <v>26.25</v>
          </cell>
          <cell r="K544">
            <v>26.25</v>
          </cell>
          <cell r="L544">
            <v>26.25</v>
          </cell>
          <cell r="M544">
            <v>31.25</v>
          </cell>
          <cell r="N544">
            <v>39.0625</v>
          </cell>
          <cell r="O544">
            <v>32.8125</v>
          </cell>
        </row>
        <row r="545">
          <cell r="C545" t="str">
            <v>Washers</v>
          </cell>
          <cell r="D545">
            <v>26</v>
          </cell>
          <cell r="E545" t="str">
            <v>Pkt</v>
          </cell>
          <cell r="G545">
            <v>28.99</v>
          </cell>
          <cell r="H545">
            <v>28.99</v>
          </cell>
          <cell r="I545">
            <v>32.5</v>
          </cell>
          <cell r="J545">
            <v>27.3</v>
          </cell>
          <cell r="K545">
            <v>27.3</v>
          </cell>
          <cell r="L545">
            <v>27.3</v>
          </cell>
          <cell r="M545">
            <v>32.5</v>
          </cell>
          <cell r="N545">
            <v>40.625</v>
          </cell>
          <cell r="O545">
            <v>34.125</v>
          </cell>
        </row>
        <row r="546">
          <cell r="C546" t="str">
            <v>75mm x 75mm x 50mm PVC box 4' x4'</v>
          </cell>
          <cell r="D546">
            <v>45</v>
          </cell>
          <cell r="E546" t="str">
            <v>Nos</v>
          </cell>
          <cell r="G546">
            <v>50.174999999999997</v>
          </cell>
          <cell r="H546">
            <v>50.174999999999997</v>
          </cell>
          <cell r="I546">
            <v>56.25</v>
          </cell>
          <cell r="J546">
            <v>47.25</v>
          </cell>
          <cell r="K546">
            <v>47.25</v>
          </cell>
          <cell r="L546">
            <v>47.25</v>
          </cell>
          <cell r="M546">
            <v>56.25</v>
          </cell>
          <cell r="N546">
            <v>70.3125</v>
          </cell>
          <cell r="O546">
            <v>59.0625</v>
          </cell>
        </row>
        <row r="547">
          <cell r="C547" t="str">
            <v>3mm thick phenolic laminted sheet</v>
          </cell>
          <cell r="E547" t="str">
            <v>sqcm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20mm PVC junction box, one way</v>
          </cell>
          <cell r="E548" t="str">
            <v>Nos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S.P. 5/6 amps. T/ Switch one way porcelian base/ Piano type.</v>
          </cell>
          <cell r="E549" t="str">
            <v>Nos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Ceiling rose 2 Plate, 5 Amps, Baklite</v>
          </cell>
          <cell r="D550">
            <v>12</v>
          </cell>
          <cell r="E550" t="str">
            <v>Nos</v>
          </cell>
          <cell r="G550">
            <v>13.379999999999999</v>
          </cell>
          <cell r="H550">
            <v>13.379999999999999</v>
          </cell>
          <cell r="I550">
            <v>15</v>
          </cell>
          <cell r="J550">
            <v>12.600000000000001</v>
          </cell>
          <cell r="K550">
            <v>12.600000000000001</v>
          </cell>
          <cell r="L550">
            <v>12.600000000000001</v>
          </cell>
          <cell r="M550">
            <v>15</v>
          </cell>
          <cell r="N550">
            <v>18.75</v>
          </cell>
          <cell r="O550">
            <v>15.750000000000002</v>
          </cell>
        </row>
        <row r="551">
          <cell r="C551" t="str">
            <v>2.24 mm dia. Bare copper earth wire</v>
          </cell>
          <cell r="E551" t="str">
            <v>mts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3mm thick phenolic laminted sheet.</v>
          </cell>
          <cell r="E552" t="str">
            <v>sqcm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3pin in 5/6 Amps</v>
          </cell>
          <cell r="E553" t="str">
            <v>Nos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 xml:space="preserve">4.0 Sqmm PVC insulated copper conductor </v>
          </cell>
          <cell r="E554" t="str">
            <v>mts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 xml:space="preserve">75mm x 75mm x 60mm deep metal box </v>
          </cell>
          <cell r="E555" t="str">
            <v>Nos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50mm X 50mm x 6mm angle iron</v>
          </cell>
          <cell r="E556" t="str">
            <v>Kg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25mm x 6mm flat iron</v>
          </cell>
          <cell r="E557" t="str">
            <v>Kg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 xml:space="preserve">Welding Charges </v>
          </cell>
          <cell r="D558">
            <v>14</v>
          </cell>
          <cell r="E558" t="str">
            <v>mm</v>
          </cell>
          <cell r="G558">
            <v>15.61</v>
          </cell>
          <cell r="H558">
            <v>15.61</v>
          </cell>
          <cell r="I558">
            <v>17.5</v>
          </cell>
          <cell r="J558">
            <v>14.700000000000001</v>
          </cell>
          <cell r="K558">
            <v>14.700000000000001</v>
          </cell>
          <cell r="L558">
            <v>14.700000000000001</v>
          </cell>
          <cell r="M558">
            <v>17.5</v>
          </cell>
          <cell r="N558">
            <v>21.875</v>
          </cell>
          <cell r="O558">
            <v>18.375</v>
          </cell>
        </row>
        <row r="559">
          <cell r="C559" t="str">
            <v>Paint</v>
          </cell>
          <cell r="E559" t="str">
            <v>Lit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</row>
        <row r="560">
          <cell r="C560" t="str">
            <v>Distemper Primer</v>
          </cell>
          <cell r="D560">
            <v>60.3</v>
          </cell>
          <cell r="E560" t="str">
            <v>Lit</v>
          </cell>
          <cell r="G560">
            <v>67.234499999999997</v>
          </cell>
          <cell r="H560">
            <v>67.234499999999997</v>
          </cell>
          <cell r="I560">
            <v>75.375</v>
          </cell>
          <cell r="J560">
            <v>63.314999999999998</v>
          </cell>
          <cell r="K560">
            <v>63.314999999999998</v>
          </cell>
          <cell r="L560">
            <v>63.314999999999998</v>
          </cell>
          <cell r="M560">
            <v>75.375</v>
          </cell>
          <cell r="N560">
            <v>94.21875</v>
          </cell>
          <cell r="O560">
            <v>79.143749999999997</v>
          </cell>
        </row>
        <row r="561">
          <cell r="C561" t="str">
            <v>100 amps. 450mm long 4 strips copper busbar with BBC</v>
          </cell>
          <cell r="E561" t="str">
            <v>No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38mm x 7mm bolts and nuts</v>
          </cell>
          <cell r="E562" t="str">
            <v>Nos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G.I. Earth stud with nut</v>
          </cell>
          <cell r="E563" t="str">
            <v>No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Thimbles and solder</v>
          </cell>
          <cell r="E564" t="str">
            <v>L.S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63 Amp. Metal clad switch fuse unit, HRC fuses</v>
          </cell>
          <cell r="E565" t="str">
            <v>No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38mm x 10mm bolts and nuts</v>
          </cell>
          <cell r="E566" t="str">
            <v>Nos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Rubber/PVC Bushes</v>
          </cell>
          <cell r="E567" t="str">
            <v>Nos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Thimbles and solder</v>
          </cell>
          <cell r="E568" t="str">
            <v>L.S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200Amp. Metal clad, switch fuse unit HRC fuses</v>
          </cell>
          <cell r="E569" t="str">
            <v>No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 xml:space="preserve">8way, metal clad TPDN 16A/way,HRC fuses </v>
          </cell>
          <cell r="E570" t="str">
            <v>No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5Amps. To 32 amps ratigns TP MCB, 'L' series</v>
          </cell>
          <cell r="E571" t="str">
            <v>Each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Single Pol, blanking plate</v>
          </cell>
          <cell r="E572" t="str">
            <v>Each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25amps, Rating 2 poles RCCB</v>
          </cell>
          <cell r="E573" t="str">
            <v>Each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25amps, Rating 4 poles RCCB</v>
          </cell>
          <cell r="E574" t="str">
            <v>Each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10amps, SPN industrial type socket outlet with plug top and metal chained cover in sheet steel enclosed</v>
          </cell>
          <cell r="E575" t="str">
            <v>Each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10AMp, Single pole MCB 'G' series</v>
          </cell>
          <cell r="E576" t="str">
            <v>Each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6mm dia reg bolt and nuts</v>
          </cell>
          <cell r="E577" t="str">
            <v>Nos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20amps, TPN industrial type socket outlet with plug top and metal chained cover in sheet steel enclosed</v>
          </cell>
          <cell r="E578" t="str">
            <v>Each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20Amp, three pole MCB 'G' series</v>
          </cell>
          <cell r="E579" t="str">
            <v>Each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4 way SPN, MCB distribution board</v>
          </cell>
          <cell r="E580" t="str">
            <v>Each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250 mm x 200mm HT danager notice plate</v>
          </cell>
          <cell r="E581" t="str">
            <v>Each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</row>
        <row r="582">
          <cell r="C582" t="str">
            <v>15mm long, 6mm G.T bolt and nuts</v>
          </cell>
          <cell r="E582" t="str">
            <v>Nos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40mm dia G.I.Pipe medium class</v>
          </cell>
          <cell r="E583" t="str">
            <v>mtrs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</row>
        <row r="584">
          <cell r="C584" t="str">
            <v>Funnel G.I. Nuts and through bolt washer</v>
          </cell>
          <cell r="E584" t="str">
            <v>Set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Locking arrangement with hinged cove plate</v>
          </cell>
          <cell r="E585" t="str">
            <v>Each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40mm to 20mm G.I. Raducer</v>
          </cell>
          <cell r="E586" t="str">
            <v>Each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Drilling of 46Nos. 12mm dia holes on G.I. Pipe</v>
          </cell>
          <cell r="E587" t="str">
            <v>L.S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Charcoal</v>
          </cell>
          <cell r="E588" t="str">
            <v>Kg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Salt</v>
          </cell>
          <cell r="E589" t="str">
            <v>Kg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600mm x 600mm x 3mm thick copper plate</v>
          </cell>
          <cell r="E590" t="str">
            <v>Each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Funnel trinned brass bolt nut check nut and washer</v>
          </cell>
          <cell r="E591" t="str">
            <v>Set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Locking arrangement with hinged cover plate</v>
          </cell>
          <cell r="E592" t="str">
            <v>Each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20mm dia G.I. pipe medium class</v>
          </cell>
          <cell r="E593" t="str">
            <v>Mtrs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25mm x 5mm copper trape (1.15 Kg ./M)</v>
          </cell>
          <cell r="E594" t="str">
            <v>Kg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Copper saddle</v>
          </cell>
          <cell r="E595" t="str">
            <v>Each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8 SWG Copper wire (4.0mm Dia)</v>
          </cell>
          <cell r="E596" t="str">
            <v>Kg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G.I. U hooks</v>
          </cell>
          <cell r="E597" t="str">
            <v>Each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C598" t="str">
            <v>150mm x 75mm x 60mm deep metal box</v>
          </cell>
          <cell r="E598" t="str">
            <v>Nos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3 pin 5/6 amps socket outlet</v>
          </cell>
          <cell r="E599" t="str">
            <v>Nos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</row>
        <row r="600">
          <cell r="C600" t="str">
            <v>S.P. 5/6 amps T/Switch one way</v>
          </cell>
          <cell r="E600" t="str">
            <v>Nos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180mm x 100mm x 60mm deep metal box</v>
          </cell>
          <cell r="E601" t="str">
            <v>Nos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3 pin 15/16 amps socket outlet pocelain base/ piano type.</v>
          </cell>
          <cell r="E602" t="str">
            <v>Nos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S.P. 16 amps T/Switch one way pocelain base/ piano type.</v>
          </cell>
          <cell r="E603" t="str">
            <v>Nos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16/0.20mm twin twisted flexiable cotton braided copper cable</v>
          </cell>
          <cell r="E604" t="str">
            <v>mtrs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Brass pendent holder</v>
          </cell>
          <cell r="E605" t="str">
            <v>Nos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C606" t="str">
            <v>Call bell AC/CD, single phase/ Buzzer</v>
          </cell>
          <cell r="D606">
            <v>110</v>
          </cell>
          <cell r="E606" t="str">
            <v>Nos</v>
          </cell>
          <cell r="G606">
            <v>122.65</v>
          </cell>
          <cell r="H606">
            <v>122.65</v>
          </cell>
          <cell r="I606">
            <v>137.5</v>
          </cell>
          <cell r="J606">
            <v>115.5</v>
          </cell>
          <cell r="K606">
            <v>115.5</v>
          </cell>
          <cell r="L606">
            <v>115.5</v>
          </cell>
          <cell r="M606">
            <v>137.5</v>
          </cell>
          <cell r="N606">
            <v>171.875</v>
          </cell>
          <cell r="O606">
            <v>144.375</v>
          </cell>
        </row>
        <row r="607">
          <cell r="C607" t="str">
            <v>Bell push Piano type</v>
          </cell>
          <cell r="D607">
            <v>14</v>
          </cell>
          <cell r="E607" t="str">
            <v>Nos</v>
          </cell>
          <cell r="G607">
            <v>15.61</v>
          </cell>
          <cell r="H607">
            <v>15.61</v>
          </cell>
          <cell r="I607">
            <v>17.5</v>
          </cell>
          <cell r="J607">
            <v>14.700000000000001</v>
          </cell>
          <cell r="K607">
            <v>14.700000000000001</v>
          </cell>
          <cell r="L607">
            <v>14.700000000000001</v>
          </cell>
          <cell r="M607">
            <v>17.5</v>
          </cell>
          <cell r="N607">
            <v>21.875</v>
          </cell>
          <cell r="O607">
            <v>18.375</v>
          </cell>
        </row>
        <row r="608">
          <cell r="C608" t="str">
            <v>Ball and socket</v>
          </cell>
          <cell r="E608" t="str">
            <v>Nos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Check nut</v>
          </cell>
          <cell r="E609" t="str">
            <v>Nos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20mm dia steel conduit</v>
          </cell>
          <cell r="E610" t="str">
            <v>mtr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1.5sqmm ISI marked PVC insulated copper Conductor cable single core</v>
          </cell>
          <cell r="E611" t="str">
            <v>mtr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6mm dia. Reg bolts with nuts</v>
          </cell>
          <cell r="E612" t="str">
            <v>Nos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</row>
        <row r="613">
          <cell r="C613" t="str">
            <v>1 Iron screws 40mm x 6mm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PVC Sleew</v>
          </cell>
          <cell r="E614" t="str">
            <v>mtr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Iron pins</v>
          </cell>
          <cell r="E615" t="str">
            <v>Nos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Aluminium Link clips 45 mm</v>
          </cell>
          <cell r="E616" t="str">
            <v>Nos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Iron Screw 35 mm x 6mm</v>
          </cell>
          <cell r="E617" t="str">
            <v>Nos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Chequred Cement Tiles</v>
          </cell>
          <cell r="D618">
            <v>467</v>
          </cell>
          <cell r="E618" t="str">
            <v>Sqm</v>
          </cell>
          <cell r="G618">
            <v>520.70500000000004</v>
          </cell>
          <cell r="H618">
            <v>520.70500000000004</v>
          </cell>
          <cell r="I618">
            <v>584</v>
          </cell>
          <cell r="J618">
            <v>490.35</v>
          </cell>
          <cell r="K618">
            <v>490.35</v>
          </cell>
          <cell r="L618">
            <v>490.35</v>
          </cell>
          <cell r="M618">
            <v>583.75</v>
          </cell>
          <cell r="N618">
            <v>584</v>
          </cell>
          <cell r="O618">
            <v>584</v>
          </cell>
        </row>
        <row r="619">
          <cell r="C619" t="str">
            <v>Hard Crete</v>
          </cell>
          <cell r="D619">
            <v>35</v>
          </cell>
          <cell r="E619" t="str">
            <v>Ltrs</v>
          </cell>
          <cell r="G619">
            <v>39.024999999999999</v>
          </cell>
          <cell r="H619">
            <v>39.024999999999999</v>
          </cell>
          <cell r="I619">
            <v>43.75</v>
          </cell>
          <cell r="J619">
            <v>36.75</v>
          </cell>
          <cell r="K619">
            <v>36.75</v>
          </cell>
          <cell r="L619">
            <v>36.75</v>
          </cell>
          <cell r="M619">
            <v>43.75</v>
          </cell>
          <cell r="N619">
            <v>54.6875</v>
          </cell>
          <cell r="O619">
            <v>45.9375</v>
          </cell>
        </row>
        <row r="620">
          <cell r="C620" t="str">
            <v>Premoulded joint filler 18mm thick</v>
          </cell>
          <cell r="D620">
            <v>342</v>
          </cell>
          <cell r="E620" t="str">
            <v>Sqm</v>
          </cell>
          <cell r="G620">
            <v>381.33</v>
          </cell>
          <cell r="H620">
            <v>381.33</v>
          </cell>
          <cell r="I620">
            <v>427.5</v>
          </cell>
          <cell r="J620">
            <v>359.1</v>
          </cell>
          <cell r="K620">
            <v>359.1</v>
          </cell>
          <cell r="L620">
            <v>359.1</v>
          </cell>
          <cell r="M620">
            <v>427.5</v>
          </cell>
          <cell r="N620">
            <v>534.375</v>
          </cell>
          <cell r="O620">
            <v>448.875</v>
          </cell>
        </row>
        <row r="621">
          <cell r="C621" t="str">
            <v>Bitumen Sealing Compound (Grade A)</v>
          </cell>
          <cell r="D621">
            <v>22</v>
          </cell>
          <cell r="E621" t="str">
            <v>Kg</v>
          </cell>
          <cell r="G621">
            <v>24.53</v>
          </cell>
          <cell r="H621">
            <v>24.53</v>
          </cell>
          <cell r="I621">
            <v>27.5</v>
          </cell>
          <cell r="J621">
            <v>23.1</v>
          </cell>
          <cell r="K621">
            <v>23.1</v>
          </cell>
          <cell r="L621">
            <v>23.1</v>
          </cell>
          <cell r="M621">
            <v>27.5</v>
          </cell>
          <cell r="N621">
            <v>34.375</v>
          </cell>
          <cell r="O621">
            <v>28.875</v>
          </cell>
        </row>
        <row r="622">
          <cell r="C622" t="str">
            <v>12mm thick particle board both side decorative</v>
          </cell>
          <cell r="D622">
            <v>898</v>
          </cell>
          <cell r="E622" t="str">
            <v>Sqm</v>
          </cell>
          <cell r="G622">
            <v>1001.27</v>
          </cell>
          <cell r="H622">
            <v>1001.27</v>
          </cell>
        </row>
        <row r="623">
          <cell r="G623" t="str">
            <v>Hut Bay</v>
          </cell>
          <cell r="H623" t="str">
            <v>Carnicobar</v>
          </cell>
          <cell r="I623" t="str">
            <v>Campbel Bay</v>
          </cell>
          <cell r="J623" t="str">
            <v>Rangat</v>
          </cell>
          <cell r="K623" t="str">
            <v>Diglipur</v>
          </cell>
          <cell r="L623" t="str">
            <v>Rate at Kamorta</v>
          </cell>
          <cell r="M623" t="str">
            <v>Campbel Bay</v>
          </cell>
          <cell r="N623" t="str">
            <v>Campbel Bay</v>
          </cell>
          <cell r="O623" t="str">
            <v>Campbel Bay</v>
          </cell>
        </row>
        <row r="624">
          <cell r="C624" t="str">
            <v>Truck Tipper 5 Cum</v>
          </cell>
          <cell r="D624">
            <v>1250000</v>
          </cell>
          <cell r="E624" t="str">
            <v>Each</v>
          </cell>
          <cell r="G624">
            <v>1375000</v>
          </cell>
          <cell r="H624">
            <v>1437500</v>
          </cell>
          <cell r="I624">
            <v>1500000</v>
          </cell>
          <cell r="J624">
            <v>1312500</v>
          </cell>
          <cell r="K624">
            <v>1312500</v>
          </cell>
          <cell r="L624">
            <v>1500000</v>
          </cell>
          <cell r="M624">
            <v>1500000</v>
          </cell>
          <cell r="N624">
            <v>1800000</v>
          </cell>
          <cell r="O624">
            <v>1575000</v>
          </cell>
        </row>
        <row r="625">
          <cell r="C625" t="str">
            <v>Truck Ordinary 5 Cum</v>
          </cell>
          <cell r="D625">
            <v>1250000</v>
          </cell>
          <cell r="E625" t="str">
            <v>Each</v>
          </cell>
          <cell r="G625">
            <v>1375000</v>
          </cell>
          <cell r="H625">
            <v>1437500</v>
          </cell>
          <cell r="I625">
            <v>1500000</v>
          </cell>
          <cell r="J625">
            <v>1312500</v>
          </cell>
          <cell r="K625">
            <v>1312500</v>
          </cell>
          <cell r="L625">
            <v>1500000</v>
          </cell>
          <cell r="M625">
            <v>1500000</v>
          </cell>
          <cell r="N625">
            <v>1800000</v>
          </cell>
          <cell r="O625">
            <v>1575000</v>
          </cell>
        </row>
        <row r="626">
          <cell r="C626" t="str">
            <v>Angle Dozer</v>
          </cell>
          <cell r="D626">
            <v>9000000</v>
          </cell>
          <cell r="E626" t="str">
            <v>Each</v>
          </cell>
          <cell r="G626">
            <v>9900000</v>
          </cell>
          <cell r="H626">
            <v>10350000</v>
          </cell>
          <cell r="I626">
            <v>10800000</v>
          </cell>
          <cell r="J626">
            <v>9450000</v>
          </cell>
          <cell r="K626">
            <v>9450000</v>
          </cell>
          <cell r="L626">
            <v>10800000</v>
          </cell>
          <cell r="M626">
            <v>10800000</v>
          </cell>
          <cell r="N626">
            <v>12960000</v>
          </cell>
          <cell r="O626">
            <v>11340000</v>
          </cell>
        </row>
        <row r="627">
          <cell r="C627" t="str">
            <v>Air Compressor 8.5 cmm (Diesel)</v>
          </cell>
          <cell r="D627">
            <v>600000</v>
          </cell>
          <cell r="E627" t="str">
            <v>Each</v>
          </cell>
          <cell r="M627">
            <v>720000</v>
          </cell>
        </row>
        <row r="628">
          <cell r="C628" t="str">
            <v>Concrete Mixer 600/400 (Diesel)</v>
          </cell>
          <cell r="D628">
            <v>130000</v>
          </cell>
          <cell r="E628" t="str">
            <v>Each</v>
          </cell>
          <cell r="M628">
            <v>156000</v>
          </cell>
        </row>
        <row r="629">
          <cell r="C629" t="str">
            <v>Concrete Mixer 300/200 (Diesel)</v>
          </cell>
          <cell r="D629">
            <v>65000</v>
          </cell>
          <cell r="E629" t="str">
            <v>Each</v>
          </cell>
          <cell r="M629">
            <v>78000</v>
          </cell>
        </row>
        <row r="630">
          <cell r="C630" t="str">
            <v>Shovel 0.85 Cum 110 Hp</v>
          </cell>
          <cell r="D630">
            <v>2000000</v>
          </cell>
          <cell r="E630" t="str">
            <v>Each</v>
          </cell>
          <cell r="M630">
            <v>2400000</v>
          </cell>
        </row>
        <row r="631">
          <cell r="C631" t="str">
            <v>Shovel 0.5 Cum 75 Hp</v>
          </cell>
          <cell r="E631" t="str">
            <v>Each</v>
          </cell>
          <cell r="M631">
            <v>0</v>
          </cell>
        </row>
        <row r="632">
          <cell r="C632" t="str">
            <v>Jack Hammer</v>
          </cell>
          <cell r="D632">
            <v>50000</v>
          </cell>
          <cell r="E632" t="str">
            <v>Each</v>
          </cell>
          <cell r="M632">
            <v>60000</v>
          </cell>
        </row>
        <row r="633">
          <cell r="C633" t="str">
            <v>Needle Vibrator 40mm (Petrol)</v>
          </cell>
          <cell r="D633">
            <v>20000</v>
          </cell>
          <cell r="E633" t="str">
            <v>Each</v>
          </cell>
          <cell r="M633">
            <v>24000</v>
          </cell>
        </row>
        <row r="634">
          <cell r="C634" t="str">
            <v>Needle Vibrator 60mm (Petrol)</v>
          </cell>
          <cell r="D634">
            <v>20000</v>
          </cell>
          <cell r="E634" t="str">
            <v>Each</v>
          </cell>
          <cell r="M634">
            <v>24000</v>
          </cell>
        </row>
        <row r="635">
          <cell r="C635" t="str">
            <v>Road Roller 10 MT</v>
          </cell>
          <cell r="D635">
            <v>1075000</v>
          </cell>
          <cell r="E635" t="str">
            <v>Each</v>
          </cell>
          <cell r="M635">
            <v>1290000</v>
          </cell>
        </row>
        <row r="636">
          <cell r="C636" t="str">
            <v>Welding Set</v>
          </cell>
          <cell r="E636" t="str">
            <v>Each</v>
          </cell>
          <cell r="M636">
            <v>0</v>
          </cell>
        </row>
        <row r="637">
          <cell r="C637" t="str">
            <v>Winch 35 Hp (electric)</v>
          </cell>
          <cell r="E637" t="str">
            <v>Each</v>
          </cell>
          <cell r="M637">
            <v>0</v>
          </cell>
        </row>
        <row r="638">
          <cell r="C638" t="str">
            <v>Dewatering Pump 5 Hp (Diesel)</v>
          </cell>
          <cell r="D638">
            <v>20800</v>
          </cell>
          <cell r="E638" t="str">
            <v>Each</v>
          </cell>
          <cell r="I638">
            <v>24960</v>
          </cell>
          <cell r="M638">
            <v>24960</v>
          </cell>
          <cell r="N638">
            <v>29952</v>
          </cell>
          <cell r="O638">
            <v>0</v>
          </cell>
        </row>
        <row r="639">
          <cell r="C639" t="str">
            <v>Dewatering Pump 10 Hp (Diesel)</v>
          </cell>
          <cell r="D639">
            <v>35000</v>
          </cell>
          <cell r="E639" t="str">
            <v>Each</v>
          </cell>
          <cell r="I639">
            <v>42000</v>
          </cell>
          <cell r="M639">
            <v>42000</v>
          </cell>
          <cell r="N639">
            <v>50400</v>
          </cell>
          <cell r="O639">
            <v>0</v>
          </cell>
        </row>
        <row r="640">
          <cell r="C640" t="str">
            <v>Dewatering Pump 20 Hp (Diesel)</v>
          </cell>
          <cell r="D640">
            <v>84000</v>
          </cell>
          <cell r="E640" t="str">
            <v>Each</v>
          </cell>
          <cell r="I640">
            <v>100800</v>
          </cell>
          <cell r="M640">
            <v>100800</v>
          </cell>
          <cell r="N640">
            <v>120960</v>
          </cell>
          <cell r="O640">
            <v>0</v>
          </cell>
        </row>
        <row r="641">
          <cell r="C641" t="str">
            <v>Excavator</v>
          </cell>
          <cell r="D641">
            <v>2500000</v>
          </cell>
          <cell r="E641" t="str">
            <v>Each</v>
          </cell>
          <cell r="G641">
            <v>2600000</v>
          </cell>
          <cell r="H641">
            <v>2600000</v>
          </cell>
          <cell r="I641">
            <v>3000000</v>
          </cell>
          <cell r="M641">
            <v>3000000</v>
          </cell>
          <cell r="N641">
            <v>3600000</v>
          </cell>
          <cell r="O641">
            <v>0</v>
          </cell>
        </row>
        <row r="642">
          <cell r="C642" t="str">
            <v>Water Tanker (8000 ltrs)</v>
          </cell>
          <cell r="D642">
            <v>950000</v>
          </cell>
          <cell r="E642" t="str">
            <v>Each</v>
          </cell>
          <cell r="M642">
            <v>1140000</v>
          </cell>
        </row>
        <row r="643">
          <cell r="C643" t="str">
            <v>Welding Set</v>
          </cell>
          <cell r="E643" t="str">
            <v>Each</v>
          </cell>
          <cell r="M643">
            <v>0</v>
          </cell>
        </row>
        <row r="644">
          <cell r="C644" t="str">
            <v>Stone crusher</v>
          </cell>
          <cell r="E644" t="str">
            <v>Each</v>
          </cell>
          <cell r="M644">
            <v>0</v>
          </cell>
        </row>
        <row r="645">
          <cell r="C645" t="str">
            <v>Machine dingy</v>
          </cell>
          <cell r="D645">
            <v>200000</v>
          </cell>
          <cell r="E645" t="str">
            <v>Each</v>
          </cell>
          <cell r="G645">
            <v>220000.00000000003</v>
          </cell>
          <cell r="I645">
            <v>240000</v>
          </cell>
          <cell r="J645">
            <v>240000</v>
          </cell>
          <cell r="K645">
            <v>240000</v>
          </cell>
          <cell r="L645">
            <v>240000</v>
          </cell>
          <cell r="M645">
            <v>240000</v>
          </cell>
          <cell r="N645">
            <v>240000</v>
          </cell>
        </row>
        <row r="646">
          <cell r="C646" t="str">
            <v>Ordinary dingy /day</v>
          </cell>
          <cell r="E646" t="str">
            <v>Each</v>
          </cell>
          <cell r="M646">
            <v>0</v>
          </cell>
        </row>
        <row r="647">
          <cell r="C647" t="str">
            <v>Hand Roller</v>
          </cell>
          <cell r="E647" t="str">
            <v>Each</v>
          </cell>
          <cell r="M647">
            <v>0</v>
          </cell>
        </row>
        <row r="648">
          <cell r="C648" t="str">
            <v>Boiler</v>
          </cell>
          <cell r="E648" t="str">
            <v>Each</v>
          </cell>
          <cell r="M648">
            <v>0</v>
          </cell>
        </row>
        <row r="649">
          <cell r="C649" t="str">
            <v>Sprayer unit</v>
          </cell>
          <cell r="E649" t="str">
            <v>Each</v>
          </cell>
          <cell r="M649">
            <v>0</v>
          </cell>
        </row>
        <row r="650">
          <cell r="C650" t="str">
            <v>Piling Rig</v>
          </cell>
          <cell r="E650" t="str">
            <v>Each</v>
          </cell>
          <cell r="M650">
            <v>0</v>
          </cell>
        </row>
        <row r="651">
          <cell r="C651" t="str">
            <v>30 Ton Tyre Mounted Crane</v>
          </cell>
          <cell r="D651">
            <v>13851584</v>
          </cell>
          <cell r="E651" t="str">
            <v>Each</v>
          </cell>
          <cell r="M651">
            <v>16621900.799999999</v>
          </cell>
        </row>
        <row r="652">
          <cell r="C652" t="str">
            <v>Truck mounted hydraulic crane 25 Ton</v>
          </cell>
          <cell r="E652" t="str">
            <v>Each</v>
          </cell>
          <cell r="M652">
            <v>0</v>
          </cell>
        </row>
        <row r="653">
          <cell r="C653" t="str">
            <v>Coles crane self propel type 16 Ton</v>
          </cell>
          <cell r="E653" t="str">
            <v>Each</v>
          </cell>
          <cell r="M653">
            <v>0</v>
          </cell>
        </row>
        <row r="654">
          <cell r="C654" t="str">
            <v>Coles crane self propel type 10 Ton</v>
          </cell>
          <cell r="E654" t="str">
            <v>Each</v>
          </cell>
          <cell r="M654">
            <v>0</v>
          </cell>
        </row>
        <row r="655">
          <cell r="C655" t="str">
            <v>Bitumen Mixer</v>
          </cell>
          <cell r="E655" t="str">
            <v>Each</v>
          </cell>
          <cell r="M655">
            <v>0</v>
          </cell>
        </row>
        <row r="656">
          <cell r="C656" t="str">
            <v>BG Plant</v>
          </cell>
          <cell r="E656" t="str">
            <v>Each</v>
          </cell>
          <cell r="M656">
            <v>0</v>
          </cell>
        </row>
        <row r="657">
          <cell r="C657" t="str">
            <v>Loader</v>
          </cell>
          <cell r="E657" t="str">
            <v>Each</v>
          </cell>
          <cell r="M657">
            <v>0</v>
          </cell>
        </row>
        <row r="658">
          <cell r="C658" t="str">
            <v>Pantoon</v>
          </cell>
          <cell r="D658">
            <v>6000000</v>
          </cell>
          <cell r="E658" t="str">
            <v>Each</v>
          </cell>
          <cell r="I658">
            <v>6600000</v>
          </cell>
          <cell r="M658">
            <v>6600000</v>
          </cell>
        </row>
        <row r="659">
          <cell r="C659" t="str">
            <v>Piling Augar</v>
          </cell>
          <cell r="E659" t="str">
            <v>Each</v>
          </cell>
        </row>
        <row r="660">
          <cell r="C660" t="str">
            <v>Crusher</v>
          </cell>
          <cell r="D660">
            <v>700000</v>
          </cell>
          <cell r="E660" t="str">
            <v>Each</v>
          </cell>
        </row>
        <row r="661">
          <cell r="C661" t="str">
            <v>Old used Tractor/Mini Gaint Tyres of size 1100mmx570mmx430mm, 18,225</v>
          </cell>
          <cell r="D661">
            <v>2979</v>
          </cell>
          <cell r="E661" t="str">
            <v>Each</v>
          </cell>
        </row>
        <row r="662">
          <cell r="C662" t="str">
            <v>Old Truck tyre of size 9.00 x 20 for using fenders.</v>
          </cell>
          <cell r="D662">
            <v>100</v>
          </cell>
          <cell r="E662" t="str">
            <v>Each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3">
          <cell r="C33" t="str">
            <v>MRATE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3">
          <cell r="C33" t="str">
            <v>MRATE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33">
          <cell r="C33" t="str">
            <v>MRATE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6CD8-0165-498D-B7D1-431110DE3160}">
  <sheetPr>
    <pageSetUpPr fitToPage="1"/>
  </sheetPr>
  <dimension ref="A1:I41"/>
  <sheetViews>
    <sheetView view="pageBreakPreview" zoomScale="60" zoomScaleNormal="85" workbookViewId="0">
      <selection activeCell="E49" sqref="E49"/>
    </sheetView>
  </sheetViews>
  <sheetFormatPr defaultColWidth="8.5546875" defaultRowHeight="14.4" x14ac:dyDescent="0.3"/>
  <cols>
    <col min="1" max="1" width="13.44140625" style="87" customWidth="1"/>
    <col min="2" max="2" width="11.44140625" style="87" customWidth="1"/>
    <col min="3" max="3" width="8.77734375" style="87" customWidth="1"/>
    <col min="4" max="16384" width="8.5546875" style="87"/>
  </cols>
  <sheetData>
    <row r="1" spans="1:9" x14ac:dyDescent="0.3">
      <c r="A1" s="220" t="s">
        <v>168</v>
      </c>
      <c r="B1" s="220"/>
      <c r="C1" s="220"/>
      <c r="D1" s="220"/>
      <c r="E1" s="220"/>
      <c r="F1" s="220"/>
      <c r="G1" s="220"/>
      <c r="H1" s="220"/>
      <c r="I1" s="220"/>
    </row>
    <row r="2" spans="1:9" x14ac:dyDescent="0.3">
      <c r="A2" s="220"/>
      <c r="B2" s="220"/>
      <c r="C2" s="220"/>
      <c r="D2" s="220"/>
      <c r="E2" s="220"/>
      <c r="F2" s="220"/>
      <c r="G2" s="220"/>
      <c r="H2" s="220"/>
      <c r="I2" s="220"/>
    </row>
    <row r="3" spans="1:9" x14ac:dyDescent="0.3">
      <c r="A3" s="220"/>
      <c r="B3" s="220"/>
      <c r="C3" s="220"/>
      <c r="D3" s="220"/>
      <c r="E3" s="220"/>
      <c r="F3" s="220"/>
      <c r="G3" s="220"/>
      <c r="H3" s="220"/>
      <c r="I3" s="220"/>
    </row>
    <row r="4" spans="1:9" x14ac:dyDescent="0.3">
      <c r="A4" s="220"/>
      <c r="B4" s="220"/>
      <c r="C4" s="220"/>
      <c r="D4" s="220"/>
      <c r="E4" s="220"/>
      <c r="F4" s="220"/>
      <c r="G4" s="220"/>
      <c r="H4" s="220"/>
      <c r="I4" s="220"/>
    </row>
    <row r="5" spans="1:9" x14ac:dyDescent="0.3">
      <c r="A5" s="220"/>
      <c r="B5" s="220"/>
      <c r="C5" s="220"/>
      <c r="D5" s="220"/>
      <c r="E5" s="220"/>
      <c r="F5" s="220"/>
      <c r="G5" s="220"/>
      <c r="H5" s="220"/>
      <c r="I5" s="220"/>
    </row>
    <row r="6" spans="1:9" x14ac:dyDescent="0.3">
      <c r="A6" s="221" t="s">
        <v>161</v>
      </c>
      <c r="B6" s="222"/>
      <c r="C6" s="222"/>
      <c r="D6" s="222"/>
      <c r="E6" s="222"/>
      <c r="F6" s="222"/>
      <c r="G6" s="222"/>
      <c r="H6" s="222"/>
      <c r="I6" s="222"/>
    </row>
    <row r="7" spans="1:9" x14ac:dyDescent="0.3">
      <c r="A7" s="222"/>
      <c r="B7" s="222"/>
      <c r="C7" s="222"/>
      <c r="D7" s="222"/>
      <c r="E7" s="222"/>
      <c r="F7" s="222"/>
      <c r="G7" s="222"/>
      <c r="H7" s="222"/>
      <c r="I7" s="222"/>
    </row>
    <row r="8" spans="1:9" x14ac:dyDescent="0.3">
      <c r="A8" s="222"/>
      <c r="B8" s="222"/>
      <c r="C8" s="222"/>
      <c r="D8" s="222"/>
      <c r="E8" s="222"/>
      <c r="F8" s="222"/>
      <c r="G8" s="222"/>
      <c r="H8" s="222"/>
      <c r="I8" s="222"/>
    </row>
    <row r="9" spans="1:9" x14ac:dyDescent="0.3">
      <c r="A9" s="222"/>
      <c r="B9" s="222"/>
      <c r="C9" s="222"/>
      <c r="D9" s="222"/>
      <c r="E9" s="222"/>
      <c r="F9" s="222"/>
      <c r="G9" s="222"/>
      <c r="H9" s="222"/>
      <c r="I9" s="222"/>
    </row>
    <row r="10" spans="1:9" x14ac:dyDescent="0.3">
      <c r="A10" s="222"/>
      <c r="B10" s="222"/>
      <c r="C10" s="222"/>
      <c r="D10" s="222"/>
      <c r="E10" s="222"/>
      <c r="F10" s="222"/>
      <c r="G10" s="222"/>
      <c r="H10" s="222"/>
      <c r="I10" s="222"/>
    </row>
    <row r="11" spans="1:9" x14ac:dyDescent="0.3">
      <c r="A11" s="222"/>
      <c r="B11" s="222"/>
      <c r="C11" s="222"/>
      <c r="D11" s="222"/>
      <c r="E11" s="222"/>
      <c r="F11" s="222"/>
      <c r="G11" s="222"/>
      <c r="H11" s="222"/>
      <c r="I11" s="222"/>
    </row>
    <row r="12" spans="1:9" x14ac:dyDescent="0.3">
      <c r="A12" s="222"/>
      <c r="B12" s="222"/>
      <c r="C12" s="222"/>
      <c r="D12" s="222"/>
      <c r="E12" s="222"/>
      <c r="F12" s="222"/>
      <c r="G12" s="222"/>
      <c r="H12" s="222"/>
      <c r="I12" s="222"/>
    </row>
    <row r="13" spans="1:9" x14ac:dyDescent="0.3">
      <c r="A13" s="222"/>
      <c r="B13" s="222"/>
      <c r="C13" s="222"/>
      <c r="D13" s="222"/>
      <c r="E13" s="222"/>
      <c r="F13" s="222"/>
      <c r="G13" s="222"/>
      <c r="H13" s="222"/>
      <c r="I13" s="222"/>
    </row>
    <row r="14" spans="1:9" x14ac:dyDescent="0.3">
      <c r="A14" s="222"/>
      <c r="B14" s="222"/>
      <c r="C14" s="222"/>
      <c r="D14" s="222"/>
      <c r="E14" s="222"/>
      <c r="F14" s="222"/>
      <c r="G14" s="222"/>
      <c r="H14" s="222"/>
      <c r="I14" s="222"/>
    </row>
    <row r="15" spans="1:9" x14ac:dyDescent="0.3">
      <c r="A15" s="222"/>
      <c r="B15" s="222"/>
      <c r="C15" s="222"/>
      <c r="D15" s="222"/>
      <c r="E15" s="222"/>
      <c r="F15" s="222"/>
      <c r="G15" s="222"/>
      <c r="H15" s="222"/>
      <c r="I15" s="222"/>
    </row>
    <row r="16" spans="1:9" x14ac:dyDescent="0.3">
      <c r="A16" s="222"/>
      <c r="B16" s="222"/>
      <c r="C16" s="222"/>
      <c r="D16" s="222"/>
      <c r="E16" s="222"/>
      <c r="F16" s="222"/>
      <c r="G16" s="222"/>
      <c r="H16" s="222"/>
      <c r="I16" s="222"/>
    </row>
    <row r="17" spans="1:9" x14ac:dyDescent="0.3">
      <c r="A17" s="222"/>
      <c r="B17" s="222"/>
      <c r="C17" s="222"/>
      <c r="D17" s="222"/>
      <c r="E17" s="222"/>
      <c r="F17" s="222"/>
      <c r="G17" s="222"/>
      <c r="H17" s="222"/>
      <c r="I17" s="222"/>
    </row>
    <row r="18" spans="1:9" x14ac:dyDescent="0.3">
      <c r="A18" s="222"/>
      <c r="B18" s="222"/>
      <c r="C18" s="222"/>
      <c r="D18" s="222"/>
      <c r="E18" s="222"/>
      <c r="F18" s="222"/>
      <c r="G18" s="222"/>
      <c r="H18" s="222"/>
      <c r="I18" s="222"/>
    </row>
    <row r="19" spans="1:9" x14ac:dyDescent="0.3">
      <c r="A19" s="222"/>
      <c r="B19" s="222"/>
      <c r="C19" s="222"/>
      <c r="D19" s="222"/>
      <c r="E19" s="222"/>
      <c r="F19" s="222"/>
      <c r="G19" s="222"/>
      <c r="H19" s="222"/>
      <c r="I19" s="222"/>
    </row>
    <row r="20" spans="1:9" x14ac:dyDescent="0.3">
      <c r="A20" s="222"/>
      <c r="B20" s="222"/>
      <c r="C20" s="222"/>
      <c r="D20" s="222"/>
      <c r="E20" s="222"/>
      <c r="F20" s="222"/>
      <c r="G20" s="222"/>
      <c r="H20" s="222"/>
      <c r="I20" s="222"/>
    </row>
    <row r="21" spans="1:9" x14ac:dyDescent="0.3">
      <c r="A21" s="222"/>
      <c r="B21" s="222"/>
      <c r="C21" s="222"/>
      <c r="D21" s="222"/>
      <c r="E21" s="222"/>
      <c r="F21" s="222"/>
      <c r="G21" s="222"/>
      <c r="H21" s="222"/>
      <c r="I21" s="222"/>
    </row>
    <row r="22" spans="1:9" x14ac:dyDescent="0.3">
      <c r="A22" s="222"/>
      <c r="B22" s="222"/>
      <c r="C22" s="222"/>
      <c r="D22" s="222"/>
      <c r="E22" s="222"/>
      <c r="F22" s="222"/>
      <c r="G22" s="222"/>
      <c r="H22" s="222"/>
      <c r="I22" s="222"/>
    </row>
    <row r="23" spans="1:9" x14ac:dyDescent="0.3">
      <c r="A23" s="222"/>
      <c r="B23" s="222"/>
      <c r="C23" s="222"/>
      <c r="D23" s="222"/>
      <c r="E23" s="222"/>
      <c r="F23" s="222"/>
      <c r="G23" s="222"/>
      <c r="H23" s="222"/>
      <c r="I23" s="222"/>
    </row>
    <row r="24" spans="1:9" x14ac:dyDescent="0.3">
      <c r="A24" s="222"/>
      <c r="B24" s="222"/>
      <c r="C24" s="222"/>
      <c r="D24" s="222"/>
      <c r="E24" s="222"/>
      <c r="F24" s="222"/>
      <c r="G24" s="222"/>
      <c r="H24" s="222"/>
      <c r="I24" s="222"/>
    </row>
    <row r="25" spans="1:9" x14ac:dyDescent="0.3">
      <c r="A25" s="222"/>
      <c r="B25" s="222"/>
      <c r="C25" s="222"/>
      <c r="D25" s="222"/>
      <c r="E25" s="222"/>
      <c r="F25" s="222"/>
      <c r="G25" s="222"/>
      <c r="H25" s="222"/>
      <c r="I25" s="222"/>
    </row>
    <row r="26" spans="1:9" x14ac:dyDescent="0.3">
      <c r="A26" s="222"/>
      <c r="B26" s="222"/>
      <c r="C26" s="222"/>
      <c r="D26" s="222"/>
      <c r="E26" s="222"/>
      <c r="F26" s="222"/>
      <c r="G26" s="222"/>
      <c r="H26" s="222"/>
      <c r="I26" s="222"/>
    </row>
    <row r="27" spans="1:9" x14ac:dyDescent="0.3">
      <c r="A27" s="222"/>
      <c r="B27" s="222"/>
      <c r="C27" s="222"/>
      <c r="D27" s="222"/>
      <c r="E27" s="222"/>
      <c r="F27" s="222"/>
      <c r="G27" s="222"/>
      <c r="H27" s="222"/>
      <c r="I27" s="222"/>
    </row>
    <row r="28" spans="1:9" x14ac:dyDescent="0.3">
      <c r="A28" s="222"/>
      <c r="B28" s="222"/>
      <c r="C28" s="222"/>
      <c r="D28" s="222"/>
      <c r="E28" s="222"/>
      <c r="F28" s="222"/>
      <c r="G28" s="222"/>
      <c r="H28" s="222"/>
      <c r="I28" s="222"/>
    </row>
    <row r="29" spans="1:9" x14ac:dyDescent="0.3">
      <c r="A29" s="222"/>
      <c r="B29" s="222"/>
      <c r="C29" s="222"/>
      <c r="D29" s="222"/>
      <c r="E29" s="222"/>
      <c r="F29" s="222"/>
      <c r="G29" s="222"/>
      <c r="H29" s="222"/>
      <c r="I29" s="222"/>
    </row>
    <row r="30" spans="1:9" x14ac:dyDescent="0.3">
      <c r="A30" s="222"/>
      <c r="B30" s="222"/>
      <c r="C30" s="222"/>
      <c r="D30" s="222"/>
      <c r="E30" s="222"/>
      <c r="F30" s="222"/>
      <c r="G30" s="222"/>
      <c r="H30" s="222"/>
      <c r="I30" s="222"/>
    </row>
    <row r="31" spans="1:9" x14ac:dyDescent="0.3">
      <c r="A31" s="222"/>
      <c r="B31" s="222"/>
      <c r="C31" s="222"/>
      <c r="D31" s="222"/>
      <c r="E31" s="222"/>
      <c r="F31" s="222"/>
      <c r="G31" s="222"/>
      <c r="H31" s="222"/>
      <c r="I31" s="222"/>
    </row>
    <row r="32" spans="1:9" x14ac:dyDescent="0.3">
      <c r="A32" s="223" t="s">
        <v>134</v>
      </c>
      <c r="B32" s="223"/>
      <c r="C32" s="223"/>
      <c r="D32" s="224" t="s">
        <v>149</v>
      </c>
      <c r="E32" s="224"/>
      <c r="F32" s="224"/>
      <c r="G32" s="225" t="s">
        <v>148</v>
      </c>
      <c r="H32" s="225"/>
      <c r="I32" s="225"/>
    </row>
    <row r="33" spans="1:9" x14ac:dyDescent="0.3">
      <c r="A33" s="223"/>
      <c r="B33" s="223"/>
      <c r="C33" s="223"/>
      <c r="D33" s="224"/>
      <c r="E33" s="224"/>
      <c r="F33" s="224"/>
      <c r="G33" s="225"/>
      <c r="H33" s="225"/>
      <c r="I33" s="225"/>
    </row>
    <row r="34" spans="1:9" x14ac:dyDescent="0.3">
      <c r="A34" s="223"/>
      <c r="B34" s="223"/>
      <c r="C34" s="223"/>
      <c r="D34" s="224"/>
      <c r="E34" s="224"/>
      <c r="F34" s="224"/>
      <c r="G34" s="225"/>
      <c r="H34" s="225"/>
      <c r="I34" s="225"/>
    </row>
    <row r="35" spans="1:9" x14ac:dyDescent="0.3">
      <c r="A35" s="223"/>
      <c r="B35" s="223"/>
      <c r="C35" s="223"/>
      <c r="D35" s="224"/>
      <c r="E35" s="224"/>
      <c r="F35" s="224"/>
      <c r="G35" s="225"/>
      <c r="H35" s="225"/>
      <c r="I35" s="225"/>
    </row>
    <row r="36" spans="1:9" x14ac:dyDescent="0.3">
      <c r="A36" s="223" t="s">
        <v>135</v>
      </c>
      <c r="B36" s="223"/>
      <c r="C36" s="223"/>
      <c r="D36" s="223" t="s">
        <v>136</v>
      </c>
      <c r="E36" s="223"/>
      <c r="F36" s="223"/>
      <c r="G36" s="226"/>
      <c r="H36" s="226"/>
      <c r="I36" s="226"/>
    </row>
    <row r="37" spans="1:9" x14ac:dyDescent="0.3">
      <c r="A37" s="223"/>
      <c r="B37" s="223"/>
      <c r="C37" s="223"/>
      <c r="D37" s="223"/>
      <c r="E37" s="223"/>
      <c r="F37" s="223"/>
      <c r="G37" s="226"/>
      <c r="H37" s="226"/>
      <c r="I37" s="226"/>
    </row>
    <row r="38" spans="1:9" x14ac:dyDescent="0.3">
      <c r="A38" s="223"/>
      <c r="B38" s="223"/>
      <c r="C38" s="223"/>
      <c r="D38" s="223"/>
      <c r="E38" s="223"/>
      <c r="F38" s="223"/>
      <c r="G38" s="226"/>
      <c r="H38" s="226"/>
      <c r="I38" s="226"/>
    </row>
    <row r="39" spans="1:9" x14ac:dyDescent="0.3">
      <c r="A39" s="223"/>
      <c r="B39" s="223"/>
      <c r="C39" s="223"/>
      <c r="D39" s="223"/>
      <c r="E39" s="223"/>
      <c r="F39" s="223"/>
      <c r="G39" s="226"/>
      <c r="H39" s="226"/>
      <c r="I39" s="226"/>
    </row>
    <row r="40" spans="1:9" x14ac:dyDescent="0.3">
      <c r="A40" s="88" t="s">
        <v>137</v>
      </c>
      <c r="B40" s="141" t="s">
        <v>150</v>
      </c>
      <c r="C40" s="218"/>
      <c r="D40" s="218"/>
      <c r="E40" s="218"/>
      <c r="F40" s="218"/>
      <c r="G40" s="218"/>
      <c r="H40" s="218"/>
      <c r="I40" s="218"/>
    </row>
    <row r="41" spans="1:9" x14ac:dyDescent="0.3">
      <c r="A41" s="88" t="s">
        <v>138</v>
      </c>
      <c r="B41" s="142"/>
      <c r="C41" s="219"/>
      <c r="D41" s="219"/>
      <c r="E41" s="219"/>
      <c r="F41" s="219"/>
      <c r="G41" s="219"/>
      <c r="H41" s="219"/>
      <c r="I41" s="219"/>
    </row>
  </sheetData>
  <mergeCells count="10">
    <mergeCell ref="C40:I40"/>
    <mergeCell ref="C41:I41"/>
    <mergeCell ref="A1:I5"/>
    <mergeCell ref="A6:I31"/>
    <mergeCell ref="A32:C35"/>
    <mergeCell ref="D32:F35"/>
    <mergeCell ref="G32:I35"/>
    <mergeCell ref="A36:C39"/>
    <mergeCell ref="D36:F39"/>
    <mergeCell ref="G36:I39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C28E-8E62-43A1-852A-FC17F056D171}">
  <sheetPr>
    <pageSetUpPr fitToPage="1"/>
  </sheetPr>
  <dimension ref="A1:BA95"/>
  <sheetViews>
    <sheetView view="pageBreakPreview" zoomScaleNormal="100" zoomScaleSheetLayoutView="100" workbookViewId="0">
      <selection activeCell="AS17" sqref="AS17"/>
    </sheetView>
  </sheetViews>
  <sheetFormatPr defaultColWidth="10" defaultRowHeight="10.199999999999999" x14ac:dyDescent="0.25"/>
  <cols>
    <col min="1" max="4" width="2.44140625" style="3" customWidth="1"/>
    <col min="5" max="5" width="2.5546875" style="3" customWidth="1"/>
    <col min="6" max="6" width="3.5546875" style="3" customWidth="1"/>
    <col min="7" max="7" width="5.44140625" style="3" customWidth="1"/>
    <col min="8" max="8" width="4" style="3" customWidth="1"/>
    <col min="9" max="26" width="2.44140625" style="3" customWidth="1"/>
    <col min="27" max="27" width="3.5546875" style="3" customWidth="1"/>
    <col min="28" max="36" width="2.44140625" style="3" customWidth="1"/>
    <col min="37" max="37" width="5.44140625" style="3" customWidth="1"/>
    <col min="38" max="38" width="8.5546875" style="3" customWidth="1"/>
    <col min="39" max="43" width="2.44140625" style="3" customWidth="1"/>
    <col min="44" max="44" width="10" style="3" customWidth="1"/>
    <col min="45" max="54" width="7.44140625" style="3" customWidth="1"/>
    <col min="55" max="59" width="2.44140625" style="3" customWidth="1"/>
    <col min="60" max="66" width="10" style="3"/>
    <col min="67" max="67" width="30.5546875" style="3" customWidth="1"/>
    <col min="68" max="16384" width="10" style="3"/>
  </cols>
  <sheetData>
    <row r="1" spans="1:52" ht="13.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3.5" customHeight="1" x14ac:dyDescent="0.25">
      <c r="A2" s="5"/>
      <c r="B2" s="5"/>
      <c r="C2" s="5"/>
      <c r="D2" s="6" t="s">
        <v>43</v>
      </c>
      <c r="E2" s="7"/>
      <c r="F2" s="7"/>
      <c r="G2" s="7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7"/>
      <c r="AF2" s="227"/>
      <c r="AG2" s="227"/>
      <c r="AH2" s="8"/>
      <c r="AI2" s="8"/>
      <c r="AJ2" s="8"/>
      <c r="AK2" s="8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7.5" customHeight="1" x14ac:dyDescent="0.25">
      <c r="A3" s="5"/>
      <c r="B3" s="5"/>
      <c r="C3" s="5"/>
      <c r="D3" s="6"/>
      <c r="E3" s="5"/>
      <c r="F3" s="5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3.5" customHeight="1" x14ac:dyDescent="0.25">
      <c r="A4" s="5"/>
      <c r="B4" s="5"/>
      <c r="C4" s="5"/>
      <c r="D4" s="6" t="s">
        <v>44</v>
      </c>
      <c r="E4" s="5"/>
      <c r="F4" s="5"/>
      <c r="G4" s="11"/>
      <c r="H4" s="12" t="s">
        <v>151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 t="s">
        <v>45</v>
      </c>
      <c r="Z4" s="9"/>
      <c r="AA4" s="9"/>
      <c r="AB4" s="227"/>
      <c r="AC4" s="227"/>
      <c r="AD4" s="227"/>
      <c r="AE4" s="227"/>
      <c r="AF4" s="227"/>
      <c r="AG4" s="227"/>
      <c r="AH4" s="8"/>
      <c r="AI4" s="8"/>
      <c r="AJ4" s="8"/>
      <c r="AK4" s="8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7.5" customHeight="1" x14ac:dyDescent="0.25">
      <c r="A5" s="5"/>
      <c r="B5" s="5"/>
      <c r="C5" s="5"/>
      <c r="D5" s="6"/>
      <c r="E5" s="5"/>
      <c r="F5" s="5"/>
      <c r="G5" s="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30" t="s">
        <v>130</v>
      </c>
      <c r="T5" s="230"/>
      <c r="U5" s="230"/>
      <c r="V5" s="230"/>
      <c r="W5" s="230"/>
      <c r="X5" s="230"/>
      <c r="Y5" s="5"/>
      <c r="Z5" s="9"/>
      <c r="AA5" s="9"/>
      <c r="AB5" s="9"/>
      <c r="AC5" s="15"/>
      <c r="AD5" s="9"/>
      <c r="AE5" s="9"/>
      <c r="AF5" s="10"/>
      <c r="AG5" s="10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3.5" customHeight="1" x14ac:dyDescent="0.25">
      <c r="A6" s="5"/>
      <c r="B6" s="5"/>
      <c r="C6" s="5"/>
      <c r="D6" s="6" t="s">
        <v>46</v>
      </c>
      <c r="E6" s="5"/>
      <c r="F6" s="5"/>
      <c r="G6" s="5"/>
      <c r="H6" s="227"/>
      <c r="I6" s="227"/>
      <c r="J6" s="227"/>
      <c r="K6" s="227"/>
      <c r="L6" s="227"/>
      <c r="M6" s="227"/>
      <c r="N6" s="227"/>
      <c r="O6" s="227"/>
      <c r="P6" s="14" t="s">
        <v>47</v>
      </c>
      <c r="Q6" s="9"/>
      <c r="R6" s="9"/>
      <c r="S6" s="231"/>
      <c r="T6" s="231"/>
      <c r="U6" s="231"/>
      <c r="V6" s="231"/>
      <c r="W6" s="231"/>
      <c r="X6" s="231"/>
      <c r="Y6" s="14" t="s">
        <v>48</v>
      </c>
      <c r="Z6" s="11"/>
      <c r="AA6" s="16"/>
      <c r="AB6" s="16"/>
      <c r="AC6" s="16"/>
      <c r="AD6" s="16"/>
      <c r="AE6" s="16"/>
      <c r="AF6" s="16"/>
      <c r="AG6" s="16"/>
      <c r="AH6" s="8"/>
      <c r="AI6" s="8"/>
      <c r="AJ6" s="8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7.5" customHeight="1" x14ac:dyDescent="0.25">
      <c r="A7" s="5"/>
      <c r="B7" s="5"/>
      <c r="C7" s="5"/>
      <c r="D7" s="6"/>
      <c r="E7" s="5"/>
      <c r="F7" s="5"/>
      <c r="G7" s="5"/>
      <c r="H7" s="9"/>
      <c r="I7" s="9"/>
      <c r="J7" s="9"/>
      <c r="K7" s="9"/>
      <c r="L7" s="9"/>
      <c r="M7" s="9"/>
      <c r="N7" s="9"/>
      <c r="O7" s="9"/>
      <c r="P7" s="17"/>
      <c r="Q7" s="9"/>
      <c r="R7" s="9"/>
      <c r="S7" s="9"/>
      <c r="T7" s="9"/>
      <c r="U7" s="9"/>
      <c r="V7" s="9"/>
      <c r="W7" s="9"/>
      <c r="X7" s="9"/>
      <c r="Y7" s="5"/>
      <c r="Z7" s="9"/>
      <c r="AA7" s="9"/>
      <c r="AB7" s="9"/>
      <c r="AC7" s="15"/>
      <c r="AD7" s="9"/>
      <c r="AE7" s="9"/>
      <c r="AF7" s="10"/>
      <c r="AG7" s="10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3.5" customHeight="1" x14ac:dyDescent="0.25">
      <c r="A8" s="5"/>
      <c r="B8" s="5"/>
      <c r="C8" s="5"/>
      <c r="D8" s="6" t="s">
        <v>49</v>
      </c>
      <c r="E8" s="5"/>
      <c r="F8" s="5"/>
      <c r="G8" s="5"/>
      <c r="H8" s="227"/>
      <c r="I8" s="227"/>
      <c r="J8" s="227"/>
      <c r="K8" s="227"/>
      <c r="L8" s="227"/>
      <c r="M8" s="227"/>
      <c r="N8" s="227"/>
      <c r="O8" s="227"/>
      <c r="P8" s="14" t="s">
        <v>50</v>
      </c>
      <c r="Q8" s="9"/>
      <c r="R8" s="9"/>
      <c r="S8" s="228"/>
      <c r="T8" s="228"/>
      <c r="U8" s="228"/>
      <c r="V8" s="228"/>
      <c r="W8" s="228"/>
      <c r="X8" s="228"/>
      <c r="Y8" s="14" t="s">
        <v>51</v>
      </c>
      <c r="Z8" s="11"/>
      <c r="AA8" s="11"/>
      <c r="AB8" s="228"/>
      <c r="AC8" s="228"/>
      <c r="AD8" s="228"/>
      <c r="AE8" s="228"/>
      <c r="AF8" s="228"/>
      <c r="AG8" s="228"/>
      <c r="AH8" s="1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7.5" customHeight="1" x14ac:dyDescent="0.25">
      <c r="A9" s="5"/>
      <c r="B9" s="5"/>
      <c r="C9" s="5"/>
      <c r="D9" s="6"/>
      <c r="E9" s="5"/>
      <c r="F9" s="5"/>
      <c r="G9" s="5"/>
      <c r="H9" s="9"/>
      <c r="I9" s="9"/>
      <c r="J9" s="9"/>
      <c r="K9" s="9"/>
      <c r="L9" s="9"/>
      <c r="M9" s="9"/>
      <c r="N9" s="9"/>
      <c r="O9" s="9"/>
      <c r="P9" s="1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0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3.5" customHeight="1" x14ac:dyDescent="0.25">
      <c r="A10" s="5"/>
      <c r="B10" s="5"/>
      <c r="C10" s="5"/>
      <c r="D10" s="6" t="s">
        <v>52</v>
      </c>
      <c r="E10" s="5"/>
      <c r="F10" s="5"/>
      <c r="G10" s="5"/>
      <c r="H10" s="227"/>
      <c r="I10" s="227"/>
      <c r="J10" s="227"/>
      <c r="K10" s="227"/>
      <c r="L10" s="227"/>
      <c r="M10" s="227"/>
      <c r="N10" s="227"/>
      <c r="O10" s="227"/>
      <c r="P10" s="14" t="s">
        <v>50</v>
      </c>
      <c r="Q10" s="9"/>
      <c r="R10" s="9"/>
      <c r="S10" s="228"/>
      <c r="T10" s="228"/>
      <c r="U10" s="228"/>
      <c r="V10" s="228"/>
      <c r="W10" s="228"/>
      <c r="X10" s="228"/>
      <c r="Y10" s="11"/>
      <c r="Z10" s="11"/>
      <c r="AA10" s="11"/>
      <c r="AB10" s="11"/>
      <c r="AC10" s="9"/>
      <c r="AD10" s="9"/>
      <c r="AE10" s="9"/>
      <c r="AF10" s="10"/>
      <c r="AG10" s="10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7.5" customHeight="1" x14ac:dyDescent="0.25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7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" customHeight="1" x14ac:dyDescent="0.25">
      <c r="A12" s="5"/>
      <c r="B12" s="5"/>
      <c r="C12" s="5"/>
      <c r="D12" s="6" t="s">
        <v>53</v>
      </c>
      <c r="E12" s="5"/>
      <c r="F12" s="5"/>
      <c r="G12" s="5"/>
      <c r="H12" s="5"/>
      <c r="I12" s="227" t="s">
        <v>130</v>
      </c>
      <c r="J12" s="227"/>
      <c r="K12" s="227"/>
      <c r="L12" s="227"/>
      <c r="M12" s="227"/>
      <c r="N12" s="227"/>
      <c r="O12" s="227"/>
      <c r="P12" s="14" t="s">
        <v>54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2"/>
      <c r="AG12" s="2"/>
      <c r="AH12" s="19" t="s">
        <v>55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3.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</row>
    <row r="14" spans="1:52" ht="13.5" customHeight="1" x14ac:dyDescent="0.25">
      <c r="A14" s="2"/>
      <c r="B14" s="2"/>
      <c r="C14" s="2"/>
      <c r="D14" s="20" t="s">
        <v>56</v>
      </c>
      <c r="E14" s="21"/>
      <c r="F14" s="21"/>
      <c r="G14" s="22"/>
      <c r="H14" s="23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4"/>
      <c r="AM14" s="20"/>
      <c r="AN14" s="25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3.5" customHeight="1" x14ac:dyDescent="0.25">
      <c r="A15" s="2"/>
      <c r="B15" s="2"/>
      <c r="C15" s="2"/>
      <c r="D15" s="26"/>
      <c r="E15" s="27"/>
      <c r="F15" s="27"/>
      <c r="G15" s="28"/>
      <c r="H15" s="29"/>
      <c r="I15" s="27"/>
      <c r="J15" s="30"/>
      <c r="K15" s="30"/>
      <c r="L15" s="30"/>
      <c r="M15" s="30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31"/>
      <c r="AM15" s="32"/>
      <c r="AN15" s="33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3.5" customHeight="1" x14ac:dyDescent="0.25">
      <c r="A16" s="2"/>
      <c r="B16" s="2"/>
      <c r="C16" s="2"/>
      <c r="D16" s="26"/>
      <c r="E16" s="27"/>
      <c r="F16" s="27"/>
      <c r="G16" s="69">
        <v>1</v>
      </c>
      <c r="H16" s="34" t="s">
        <v>104</v>
      </c>
      <c r="I16" s="35"/>
      <c r="J16" s="30"/>
      <c r="K16" s="30"/>
      <c r="L16" s="30"/>
      <c r="M16" s="30"/>
      <c r="N16" s="27"/>
      <c r="O16" s="27"/>
      <c r="P16" s="27"/>
      <c r="Q16" s="27"/>
      <c r="R16" s="27"/>
      <c r="S16" s="30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31"/>
      <c r="AM16" s="32"/>
      <c r="AN16" s="33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3" ht="13.5" customHeight="1" x14ac:dyDescent="0.2">
      <c r="A17" s="2"/>
      <c r="B17" s="2"/>
      <c r="C17" s="2"/>
      <c r="D17" s="26"/>
      <c r="E17" s="27"/>
      <c r="F17" s="27"/>
      <c r="G17" s="28"/>
      <c r="H17" s="36" t="s">
        <v>57</v>
      </c>
      <c r="I17" s="37"/>
      <c r="J17" s="38"/>
      <c r="K17" s="38"/>
      <c r="L17" s="38"/>
      <c r="M17" s="38"/>
      <c r="N17" s="39"/>
      <c r="O17" s="39"/>
      <c r="P17" s="27"/>
      <c r="Q17" s="27"/>
      <c r="R17" s="27"/>
      <c r="S17" s="30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31"/>
      <c r="AM17" s="32"/>
      <c r="AN17" s="33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3" ht="13.5" customHeight="1" x14ac:dyDescent="0.2">
      <c r="A18" s="2"/>
      <c r="B18" s="2"/>
      <c r="C18" s="2"/>
      <c r="D18" s="26"/>
      <c r="E18" s="27"/>
      <c r="F18" s="27"/>
      <c r="G18" s="28"/>
      <c r="H18" s="36" t="s">
        <v>58</v>
      </c>
      <c r="I18" s="37"/>
      <c r="J18" s="38"/>
      <c r="K18" s="38"/>
      <c r="L18" s="38"/>
      <c r="M18" s="38"/>
      <c r="N18" s="39"/>
      <c r="O18" s="3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31"/>
      <c r="AM18" s="32"/>
      <c r="AN18" s="33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3" ht="13.5" customHeight="1" x14ac:dyDescent="0.2">
      <c r="A19" s="2"/>
      <c r="B19" s="2"/>
      <c r="C19" s="2"/>
      <c r="D19" s="26"/>
      <c r="E19" s="27"/>
      <c r="F19" s="27"/>
      <c r="G19" s="28"/>
      <c r="H19" s="40" t="s">
        <v>59</v>
      </c>
      <c r="I19" s="38"/>
      <c r="J19" s="38"/>
      <c r="K19" s="38"/>
      <c r="L19" s="38"/>
      <c r="M19" s="38"/>
      <c r="N19" s="39"/>
      <c r="O19" s="39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31"/>
      <c r="AM19" s="32"/>
      <c r="AN19" s="33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3" ht="13.5" customHeight="1" x14ac:dyDescent="0.2">
      <c r="A20" s="2"/>
      <c r="B20" s="2"/>
      <c r="C20" s="2"/>
      <c r="D20" s="26"/>
      <c r="E20" s="27"/>
      <c r="F20" s="27"/>
      <c r="G20" s="28"/>
      <c r="H20" s="40"/>
      <c r="I20" s="38" t="s">
        <v>60</v>
      </c>
      <c r="J20" s="38"/>
      <c r="K20" s="38"/>
      <c r="L20" s="38"/>
      <c r="M20" s="38"/>
      <c r="N20" s="39"/>
      <c r="O20" s="39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31"/>
      <c r="AM20" s="32"/>
      <c r="AN20" s="33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3" ht="13.5" customHeight="1" x14ac:dyDescent="0.2">
      <c r="A21" s="2"/>
      <c r="B21" s="2"/>
      <c r="C21" s="2"/>
      <c r="D21" s="26"/>
      <c r="E21" s="27"/>
      <c r="F21" s="27"/>
      <c r="G21" s="28"/>
      <c r="H21" s="40"/>
      <c r="I21" s="38" t="s">
        <v>127</v>
      </c>
      <c r="J21" s="38"/>
      <c r="K21" s="38"/>
      <c r="L21" s="38"/>
      <c r="M21" s="38"/>
      <c r="N21" s="38"/>
      <c r="O21" s="38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31"/>
      <c r="AM21" s="32"/>
      <c r="AN21" s="33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3" ht="13.5" customHeight="1" x14ac:dyDescent="0.2">
      <c r="A22" s="2"/>
      <c r="B22" s="2"/>
      <c r="C22" s="2"/>
      <c r="D22" s="26"/>
      <c r="E22" s="27"/>
      <c r="F22" s="27"/>
      <c r="G22" s="28"/>
      <c r="H22" s="40"/>
      <c r="I22" s="38" t="s">
        <v>124</v>
      </c>
      <c r="J22" s="38"/>
      <c r="K22" s="38"/>
      <c r="L22" s="38"/>
      <c r="M22" s="38"/>
      <c r="N22" s="38"/>
      <c r="O22" s="3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31"/>
      <c r="AM22" s="32"/>
      <c r="AN22" s="33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3" ht="13.5" customHeight="1" x14ac:dyDescent="0.2">
      <c r="A23" s="2"/>
      <c r="B23" s="2"/>
      <c r="C23" s="2"/>
      <c r="D23" s="26"/>
      <c r="E23" s="27"/>
      <c r="F23" s="27"/>
      <c r="G23" s="28"/>
      <c r="H23" s="40"/>
      <c r="I23" s="38" t="s">
        <v>125</v>
      </c>
      <c r="J23" s="38"/>
      <c r="K23" s="38"/>
      <c r="L23" s="38"/>
      <c r="M23" s="38"/>
      <c r="N23" s="38"/>
      <c r="O23" s="38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31"/>
      <c r="AM23" s="32"/>
      <c r="AN23" s="33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3" ht="13.5" customHeight="1" x14ac:dyDescent="0.2">
      <c r="A24" s="2"/>
      <c r="B24" s="2"/>
      <c r="C24" s="2"/>
      <c r="D24" s="26"/>
      <c r="E24" s="27"/>
      <c r="F24" s="27"/>
      <c r="G24" s="28"/>
      <c r="H24" s="40"/>
      <c r="I24" s="3" t="s">
        <v>123</v>
      </c>
      <c r="J24" s="38"/>
      <c r="K24" s="38"/>
      <c r="L24" s="38"/>
      <c r="M24" s="38"/>
      <c r="N24" s="38"/>
      <c r="O24" s="38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31"/>
      <c r="AM24" s="32"/>
      <c r="AN24" s="33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 x14ac:dyDescent="0.2">
      <c r="A25" s="2"/>
      <c r="B25" s="2"/>
      <c r="C25" s="2"/>
      <c r="D25" s="26"/>
      <c r="E25" s="27"/>
      <c r="F25" s="27"/>
      <c r="G25" s="28"/>
      <c r="H25" s="40"/>
      <c r="I25" s="3" t="s">
        <v>126</v>
      </c>
      <c r="J25" s="38"/>
      <c r="K25" s="38"/>
      <c r="L25" s="38"/>
      <c r="M25" s="38"/>
      <c r="N25" s="38"/>
      <c r="O25" s="38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31"/>
      <c r="AM25" s="32"/>
      <c r="AN25" s="33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 x14ac:dyDescent="0.2">
      <c r="A26" s="2"/>
      <c r="B26" s="2"/>
      <c r="C26" s="2"/>
      <c r="D26" s="26"/>
      <c r="E26" s="27"/>
      <c r="F26" s="27"/>
      <c r="G26" s="28"/>
      <c r="H26" s="40"/>
      <c r="J26" s="38"/>
      <c r="K26" s="38"/>
      <c r="L26" s="38"/>
      <c r="M26" s="38"/>
      <c r="N26" s="38"/>
      <c r="O26" s="38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31"/>
      <c r="AM26" s="32"/>
      <c r="AN26" s="33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 x14ac:dyDescent="0.2">
      <c r="A27" s="2"/>
      <c r="B27" s="2"/>
      <c r="C27" s="2"/>
      <c r="D27" s="26"/>
      <c r="E27" s="27"/>
      <c r="F27" s="27"/>
      <c r="G27" s="70" t="s">
        <v>69</v>
      </c>
      <c r="H27" s="64" t="s">
        <v>88</v>
      </c>
      <c r="I27" s="65"/>
      <c r="J27" s="66"/>
      <c r="K27" s="66"/>
      <c r="L27" s="66"/>
      <c r="M27" s="66"/>
      <c r="N27" s="66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27"/>
      <c r="AD27" s="27"/>
      <c r="AE27" s="27"/>
      <c r="AF27" s="27"/>
      <c r="AG27" s="27"/>
      <c r="AH27" s="27"/>
      <c r="AI27" s="27"/>
      <c r="AJ27" s="27"/>
      <c r="AK27" s="27"/>
      <c r="AL27" s="31"/>
      <c r="AM27" s="32"/>
      <c r="AN27" s="33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 x14ac:dyDescent="0.25">
      <c r="A28" s="2"/>
      <c r="B28" s="2"/>
      <c r="C28" s="2"/>
      <c r="D28" s="26"/>
      <c r="E28" s="27"/>
      <c r="F28" s="27"/>
      <c r="G28" s="28"/>
      <c r="H28" s="34"/>
      <c r="I28" s="65" t="s">
        <v>89</v>
      </c>
      <c r="J28" s="68"/>
      <c r="K28" s="68"/>
      <c r="L28" s="68"/>
      <c r="M28" s="68"/>
      <c r="N28" s="30"/>
      <c r="O28" s="30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1"/>
      <c r="AM28" s="32"/>
      <c r="AN28" s="33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 x14ac:dyDescent="0.2">
      <c r="A29" s="2"/>
      <c r="B29" s="2"/>
      <c r="C29" s="2"/>
      <c r="D29" s="26"/>
      <c r="E29" s="27"/>
      <c r="F29" s="27"/>
      <c r="G29" s="28"/>
      <c r="H29" s="40"/>
      <c r="I29" s="3" t="s">
        <v>90</v>
      </c>
      <c r="J29" s="38"/>
      <c r="K29" s="38"/>
      <c r="L29" s="38"/>
      <c r="M29" s="38"/>
      <c r="N29" s="38"/>
      <c r="O29" s="38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1"/>
      <c r="AM29" s="32"/>
      <c r="AN29" s="33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 x14ac:dyDescent="0.2">
      <c r="A30" s="2"/>
      <c r="B30" s="2"/>
      <c r="C30" s="2"/>
      <c r="D30" s="26"/>
      <c r="E30" s="27"/>
      <c r="F30" s="27"/>
      <c r="G30" s="28"/>
      <c r="H30" s="40"/>
      <c r="I30" s="3" t="s">
        <v>91</v>
      </c>
      <c r="J30" s="38"/>
      <c r="K30" s="38"/>
      <c r="L30" s="38"/>
      <c r="M30" s="38"/>
      <c r="N30" s="38"/>
      <c r="O30" s="38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1"/>
      <c r="AM30" s="32"/>
      <c r="AN30" s="33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 x14ac:dyDescent="0.2">
      <c r="A31" s="2"/>
      <c r="B31" s="2"/>
      <c r="C31" s="2"/>
      <c r="D31" s="26"/>
      <c r="E31" s="27"/>
      <c r="F31" s="27"/>
      <c r="G31" s="28"/>
      <c r="H31" s="40"/>
      <c r="J31" s="38"/>
      <c r="K31" s="38"/>
      <c r="L31" s="38"/>
      <c r="M31" s="38"/>
      <c r="N31" s="38"/>
      <c r="O31" s="38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1"/>
      <c r="AM31" s="32"/>
      <c r="AN31" s="33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 x14ac:dyDescent="0.2">
      <c r="A32" s="2"/>
      <c r="B32" s="2"/>
      <c r="C32" s="2"/>
      <c r="D32" s="26"/>
      <c r="E32" s="27"/>
      <c r="F32" s="27"/>
      <c r="G32" s="28"/>
      <c r="H32" s="40"/>
      <c r="I32" s="3" t="s">
        <v>92</v>
      </c>
      <c r="J32" s="38"/>
      <c r="K32" s="38"/>
      <c r="L32" s="38"/>
      <c r="M32" s="38"/>
      <c r="N32" s="38"/>
      <c r="O32" s="3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1"/>
      <c r="AM32" s="32"/>
      <c r="AN32" s="33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 x14ac:dyDescent="0.2">
      <c r="A33" s="2"/>
      <c r="B33" s="2"/>
      <c r="C33" s="2"/>
      <c r="D33" s="26"/>
      <c r="E33" s="27"/>
      <c r="F33" s="27"/>
      <c r="G33" s="28"/>
      <c r="H33" s="40"/>
      <c r="I33" s="3" t="s">
        <v>93</v>
      </c>
      <c r="J33" s="38"/>
      <c r="K33" s="38"/>
      <c r="L33" s="38"/>
      <c r="M33" s="38"/>
      <c r="N33" s="38"/>
      <c r="O33" s="38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1"/>
      <c r="AM33" s="32"/>
      <c r="AN33" s="33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 x14ac:dyDescent="0.2">
      <c r="A34" s="2"/>
      <c r="B34" s="2"/>
      <c r="C34" s="2"/>
      <c r="D34" s="26"/>
      <c r="E34" s="27"/>
      <c r="F34" s="27"/>
      <c r="G34" s="28"/>
      <c r="H34" s="40" t="s">
        <v>94</v>
      </c>
      <c r="J34" s="38"/>
      <c r="K34" s="38"/>
      <c r="L34" s="38"/>
      <c r="M34" s="38"/>
      <c r="N34" s="38"/>
      <c r="O34" s="38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1"/>
      <c r="AM34" s="32"/>
      <c r="AN34" s="33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 x14ac:dyDescent="0.2">
      <c r="A35" s="2"/>
      <c r="B35" s="2"/>
      <c r="C35" s="2"/>
      <c r="D35" s="26"/>
      <c r="E35" s="27"/>
      <c r="F35" s="27"/>
      <c r="G35" s="28"/>
      <c r="H35" s="40" t="s">
        <v>95</v>
      </c>
      <c r="I35" s="3" t="s">
        <v>1</v>
      </c>
      <c r="J35" s="38" t="s">
        <v>96</v>
      </c>
      <c r="K35" s="38"/>
      <c r="L35" s="38"/>
      <c r="M35" s="38"/>
      <c r="N35" s="38"/>
      <c r="O35" s="38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31"/>
      <c r="AM35" s="32"/>
      <c r="AN35" s="33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 x14ac:dyDescent="0.2">
      <c r="A36" s="2"/>
      <c r="B36" s="2"/>
      <c r="C36" s="2"/>
      <c r="D36" s="26"/>
      <c r="E36" s="27"/>
      <c r="F36" s="27"/>
      <c r="G36" s="28"/>
      <c r="H36" s="40" t="s">
        <v>72</v>
      </c>
      <c r="I36" s="3" t="s">
        <v>1</v>
      </c>
      <c r="J36" s="38" t="s">
        <v>99</v>
      </c>
      <c r="K36" s="38"/>
      <c r="L36" s="38"/>
      <c r="M36" s="38"/>
      <c r="N36" s="38"/>
      <c r="O36" s="38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31"/>
      <c r="AM36" s="32"/>
      <c r="AN36" s="33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 x14ac:dyDescent="0.2">
      <c r="A37" s="2"/>
      <c r="B37" s="2"/>
      <c r="C37" s="2"/>
      <c r="D37" s="26"/>
      <c r="E37" s="27"/>
      <c r="F37" s="27"/>
      <c r="G37" s="28"/>
      <c r="H37" s="40" t="s">
        <v>61</v>
      </c>
      <c r="I37" s="3" t="s">
        <v>1</v>
      </c>
      <c r="J37" s="38" t="s">
        <v>100</v>
      </c>
      <c r="K37" s="38"/>
      <c r="L37" s="38"/>
      <c r="M37" s="38"/>
      <c r="N37" s="38"/>
      <c r="O37" s="38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31"/>
      <c r="AM37" s="32"/>
      <c r="AN37" s="33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ht="13.5" customHeight="1" x14ac:dyDescent="0.2">
      <c r="A38" s="2"/>
      <c r="B38" s="2"/>
      <c r="C38" s="2"/>
      <c r="D38" s="26"/>
      <c r="E38" s="27"/>
      <c r="F38" s="27"/>
      <c r="G38" s="28"/>
      <c r="H38" s="40" t="s">
        <v>73</v>
      </c>
      <c r="I38" s="3" t="s">
        <v>1</v>
      </c>
      <c r="J38" s="38" t="s">
        <v>101</v>
      </c>
      <c r="K38" s="38"/>
      <c r="L38" s="38"/>
      <c r="M38" s="38"/>
      <c r="N38" s="38"/>
      <c r="O38" s="38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31"/>
      <c r="AM38" s="32"/>
      <c r="AN38" s="33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ht="13.5" customHeight="1" x14ac:dyDescent="0.2">
      <c r="A39" s="2"/>
      <c r="B39" s="2"/>
      <c r="C39" s="2"/>
      <c r="D39" s="26"/>
      <c r="E39" s="27"/>
      <c r="F39" s="27"/>
      <c r="G39" s="28"/>
      <c r="H39" s="40" t="s">
        <v>97</v>
      </c>
      <c r="I39" s="3" t="s">
        <v>1</v>
      </c>
      <c r="J39" s="38" t="s">
        <v>102</v>
      </c>
      <c r="K39" s="38"/>
      <c r="L39" s="38"/>
      <c r="M39" s="38"/>
      <c r="N39" s="38"/>
      <c r="O39" s="38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31"/>
      <c r="AM39" s="32"/>
      <c r="AN39" s="33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ht="13.5" customHeight="1" x14ac:dyDescent="0.25">
      <c r="A40" s="2"/>
      <c r="B40" s="2"/>
      <c r="C40" s="2"/>
      <c r="D40" s="26"/>
      <c r="E40" s="27"/>
      <c r="F40" s="27"/>
      <c r="G40" s="41"/>
      <c r="H40" s="42" t="s">
        <v>98</v>
      </c>
      <c r="I40" s="30" t="s">
        <v>1</v>
      </c>
      <c r="J40" s="30" t="s">
        <v>103</v>
      </c>
      <c r="K40" s="30"/>
      <c r="L40" s="30"/>
      <c r="M40" s="30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31"/>
      <c r="AM40" s="32"/>
      <c r="AN40" s="33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ht="13.5" customHeight="1" x14ac:dyDescent="0.25">
      <c r="A41" s="2"/>
      <c r="B41" s="2"/>
      <c r="C41" s="2"/>
      <c r="D41" s="26"/>
      <c r="E41" s="27"/>
      <c r="F41" s="27"/>
      <c r="G41" s="41"/>
      <c r="H41" s="42"/>
      <c r="I41" s="30"/>
      <c r="J41" s="30"/>
      <c r="K41" s="30"/>
      <c r="L41" s="30"/>
      <c r="M41" s="30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31"/>
      <c r="AM41" s="32"/>
      <c r="AN41" s="33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ht="13.5" customHeight="1" x14ac:dyDescent="0.25">
      <c r="A42" s="2"/>
      <c r="B42" s="2"/>
      <c r="C42" s="2"/>
      <c r="D42" s="26"/>
      <c r="E42" s="27"/>
      <c r="F42" s="27"/>
      <c r="G42" s="41"/>
      <c r="H42" s="42" t="s">
        <v>107</v>
      </c>
      <c r="I42" s="30"/>
      <c r="J42" s="30"/>
      <c r="K42" s="30"/>
      <c r="L42" s="30"/>
      <c r="M42" s="30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31"/>
      <c r="AM42" s="32"/>
      <c r="AN42" s="33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ht="13.5" customHeight="1" x14ac:dyDescent="0.25">
      <c r="A43" s="2"/>
      <c r="B43" s="2"/>
      <c r="C43" s="2"/>
      <c r="D43" s="26"/>
      <c r="E43" s="27"/>
      <c r="F43" s="27"/>
      <c r="G43" s="41"/>
      <c r="H43" s="42"/>
      <c r="I43" s="30"/>
      <c r="J43" s="30"/>
      <c r="K43" s="30"/>
      <c r="L43" s="30"/>
      <c r="M43" s="30"/>
      <c r="N43" s="27" t="s">
        <v>105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31"/>
      <c r="AM43" s="32"/>
      <c r="AN43" s="33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ht="13.5" customHeight="1" x14ac:dyDescent="0.25">
      <c r="A44" s="2"/>
      <c r="B44" s="2"/>
      <c r="C44" s="2"/>
      <c r="D44" s="26"/>
      <c r="E44" s="27"/>
      <c r="F44" s="27"/>
      <c r="G44" s="41"/>
      <c r="H44" s="42"/>
      <c r="I44" s="30"/>
      <c r="J44" s="30"/>
      <c r="K44" s="30"/>
      <c r="L44" s="30"/>
      <c r="M44" s="30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31"/>
      <c r="AM44" s="32"/>
      <c r="AN44" s="33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ht="13.5" customHeight="1" x14ac:dyDescent="0.25">
      <c r="A45" s="2"/>
      <c r="B45" s="2"/>
      <c r="C45" s="2"/>
      <c r="D45" s="26"/>
      <c r="E45" s="27"/>
      <c r="F45" s="27"/>
      <c r="G45" s="41"/>
      <c r="H45" s="42" t="s">
        <v>108</v>
      </c>
      <c r="I45" s="30"/>
      <c r="J45" s="30"/>
      <c r="K45" s="30"/>
      <c r="L45" s="30"/>
      <c r="M45" s="30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31"/>
      <c r="AM45" s="32"/>
      <c r="AN45" s="33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ht="13.5" customHeight="1" x14ac:dyDescent="0.25">
      <c r="A46" s="2"/>
      <c r="B46" s="2"/>
      <c r="C46" s="2"/>
      <c r="D46" s="26"/>
      <c r="E46" s="27"/>
      <c r="F46" s="27"/>
      <c r="G46" s="41"/>
      <c r="H46" s="42"/>
      <c r="I46" s="30"/>
      <c r="J46" s="30"/>
      <c r="K46" s="30"/>
      <c r="L46" s="30"/>
      <c r="M46" s="30"/>
      <c r="N46" s="27" t="s">
        <v>106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31"/>
      <c r="AM46" s="32"/>
      <c r="AN46" s="33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ht="13.5" customHeight="1" x14ac:dyDescent="0.25">
      <c r="A47" s="2"/>
      <c r="B47" s="2"/>
      <c r="C47" s="2"/>
      <c r="D47" s="26"/>
      <c r="E47" s="27"/>
      <c r="F47" s="27"/>
      <c r="G47" s="41"/>
      <c r="H47" s="42"/>
      <c r="I47" s="30"/>
      <c r="J47" s="30"/>
      <c r="K47" s="30"/>
      <c r="L47" s="30"/>
      <c r="M47" s="30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31"/>
      <c r="AM47" s="32"/>
      <c r="AN47" s="33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ht="13.5" customHeight="1" x14ac:dyDescent="0.2">
      <c r="A48" s="2"/>
      <c r="B48" s="2"/>
      <c r="C48" s="2"/>
      <c r="D48" s="26"/>
      <c r="E48" s="27"/>
      <c r="F48" s="27"/>
      <c r="G48" s="71" t="s">
        <v>109</v>
      </c>
      <c r="H48" s="64" t="s">
        <v>110</v>
      </c>
      <c r="I48" s="30"/>
      <c r="J48" s="30"/>
      <c r="K48" s="30"/>
      <c r="L48" s="30"/>
      <c r="M48" s="30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31"/>
      <c r="AM48" s="32"/>
      <c r="AN48" s="33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ht="13.5" customHeight="1" x14ac:dyDescent="0.25">
      <c r="A49" s="2"/>
      <c r="B49" s="2"/>
      <c r="C49" s="2"/>
      <c r="D49" s="26"/>
      <c r="E49" s="27"/>
      <c r="F49" s="27"/>
      <c r="G49" s="41"/>
      <c r="H49" s="42" t="s">
        <v>111</v>
      </c>
      <c r="I49" s="27"/>
      <c r="J49" s="27"/>
      <c r="K49" s="27"/>
      <c r="L49" s="30"/>
      <c r="M49" s="30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31"/>
      <c r="AM49" s="32"/>
      <c r="AN49" s="33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ht="13.5" customHeight="1" x14ac:dyDescent="0.25">
      <c r="A50" s="2"/>
      <c r="B50" s="2"/>
      <c r="C50" s="2"/>
      <c r="D50" s="26"/>
      <c r="E50" s="27"/>
      <c r="F50" s="27"/>
      <c r="G50" s="41"/>
      <c r="H50" s="42" t="s">
        <v>112</v>
      </c>
      <c r="I50" s="27"/>
      <c r="J50" s="27"/>
      <c r="K50" s="27"/>
      <c r="L50" s="30"/>
      <c r="M50" s="30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31"/>
      <c r="AM50" s="32"/>
      <c r="AN50" s="33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ht="13.5" customHeight="1" x14ac:dyDescent="0.25">
      <c r="A51" s="2"/>
      <c r="B51" s="2"/>
      <c r="C51" s="2"/>
      <c r="D51" s="26"/>
      <c r="E51" s="27"/>
      <c r="F51" s="27"/>
      <c r="G51" s="41"/>
      <c r="H51" s="42"/>
      <c r="I51" s="27"/>
      <c r="J51" s="27"/>
      <c r="K51" s="27"/>
      <c r="L51" s="30"/>
      <c r="M51" s="30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31"/>
      <c r="AM51" s="32"/>
      <c r="AN51" s="33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ht="13.5" customHeight="1" x14ac:dyDescent="0.2">
      <c r="A52" s="2"/>
      <c r="B52" s="2"/>
      <c r="C52" s="2"/>
      <c r="D52" s="26"/>
      <c r="E52" s="27"/>
      <c r="F52" s="27"/>
      <c r="G52" s="72" t="s">
        <v>67</v>
      </c>
      <c r="H52" s="64" t="s">
        <v>113</v>
      </c>
      <c r="I52" s="27"/>
      <c r="J52" s="27"/>
      <c r="K52" s="27"/>
      <c r="L52" s="30"/>
      <c r="M52" s="30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31"/>
      <c r="AM52" s="32"/>
      <c r="AN52" s="33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ht="13.5" customHeight="1" x14ac:dyDescent="0.25">
      <c r="A53" s="2"/>
      <c r="B53" s="2"/>
      <c r="C53" s="2"/>
      <c r="D53" s="26"/>
      <c r="E53" s="27"/>
      <c r="F53" s="27"/>
      <c r="G53" s="41"/>
      <c r="H53" s="42" t="s">
        <v>114</v>
      </c>
      <c r="I53" s="27"/>
      <c r="J53" s="27"/>
      <c r="K53" s="27"/>
      <c r="L53" s="30"/>
      <c r="M53" s="30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31"/>
      <c r="AM53" s="32"/>
      <c r="AN53" s="33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ht="13.5" customHeight="1" x14ac:dyDescent="0.25">
      <c r="A54" s="2"/>
      <c r="B54" s="2"/>
      <c r="C54" s="2"/>
      <c r="D54" s="26"/>
      <c r="E54" s="27"/>
      <c r="F54" s="27"/>
      <c r="G54" s="41"/>
      <c r="H54" s="42" t="s">
        <v>131</v>
      </c>
      <c r="I54" s="27"/>
      <c r="J54" s="27"/>
      <c r="K54" s="27"/>
      <c r="L54" s="30"/>
      <c r="M54" s="30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31"/>
      <c r="AM54" s="32"/>
      <c r="AN54" s="33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ht="13.5" hidden="1" customHeight="1" x14ac:dyDescent="0.25">
      <c r="A55" s="2"/>
      <c r="B55" s="2"/>
      <c r="C55" s="2"/>
      <c r="D55" s="26"/>
      <c r="E55" s="27"/>
      <c r="F55" s="27"/>
      <c r="G55" s="41"/>
      <c r="H55" s="42"/>
      <c r="I55" s="30"/>
      <c r="J55" s="30"/>
      <c r="K55" s="30"/>
      <c r="L55" s="30"/>
      <c r="M55" s="30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31"/>
      <c r="AM55" s="32"/>
      <c r="AN55" s="33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ht="13.5" hidden="1" customHeight="1" x14ac:dyDescent="0.25">
      <c r="A56" s="2"/>
      <c r="B56" s="2"/>
      <c r="C56" s="2"/>
      <c r="D56" s="26"/>
      <c r="E56" s="27"/>
      <c r="F56" s="27"/>
      <c r="G56" s="41"/>
      <c r="H56" s="42"/>
      <c r="I56" s="30"/>
      <c r="J56" s="30"/>
      <c r="K56" s="30"/>
      <c r="L56" s="30"/>
      <c r="M56" s="30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31"/>
      <c r="AM56" s="32"/>
      <c r="AN56" s="33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ht="13.5" hidden="1" customHeight="1" x14ac:dyDescent="0.25">
      <c r="A57" s="2"/>
      <c r="B57" s="2"/>
      <c r="C57" s="2"/>
      <c r="D57" s="26"/>
      <c r="E57" s="27"/>
      <c r="F57" s="27"/>
      <c r="G57" s="41"/>
      <c r="H57" s="42"/>
      <c r="I57" s="30"/>
      <c r="J57" s="30"/>
      <c r="K57" s="30"/>
      <c r="L57" s="30"/>
      <c r="M57" s="30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31"/>
      <c r="AM57" s="32"/>
      <c r="AN57" s="3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ht="13.5" customHeight="1" x14ac:dyDescent="0.25">
      <c r="A58" s="2"/>
      <c r="B58" s="2"/>
      <c r="C58" s="2"/>
      <c r="D58" s="26"/>
      <c r="E58" s="27"/>
      <c r="F58" s="27"/>
      <c r="G58" s="41"/>
      <c r="H58" s="42" t="s">
        <v>119</v>
      </c>
      <c r="I58" s="30"/>
      <c r="J58" s="30"/>
      <c r="K58" s="30"/>
      <c r="L58" s="30"/>
      <c r="M58" s="30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31"/>
      <c r="AM58" s="32"/>
      <c r="AN58" s="3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ht="13.5" hidden="1" customHeight="1" x14ac:dyDescent="0.25">
      <c r="A59" s="2"/>
      <c r="B59" s="2"/>
      <c r="C59" s="2"/>
      <c r="D59" s="26"/>
      <c r="E59" s="27"/>
      <c r="F59" s="27"/>
      <c r="G59" s="41"/>
      <c r="H59" s="42"/>
      <c r="I59" s="30"/>
      <c r="J59" s="30"/>
      <c r="K59" s="30"/>
      <c r="L59" s="30"/>
      <c r="M59" s="30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31"/>
      <c r="AM59" s="32"/>
      <c r="AN59" s="33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ht="13.5" customHeight="1" x14ac:dyDescent="0.25">
      <c r="A60" s="2"/>
      <c r="B60" s="2"/>
      <c r="C60" s="2"/>
      <c r="D60" s="26"/>
      <c r="E60" s="27"/>
      <c r="F60" s="27"/>
      <c r="G60" s="41"/>
      <c r="H60" s="42"/>
      <c r="I60" s="30"/>
      <c r="J60" s="30"/>
      <c r="K60" s="30"/>
      <c r="L60" s="30"/>
      <c r="M60" s="30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31"/>
      <c r="AM60" s="32"/>
      <c r="AN60" s="33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ht="13.5" customHeight="1" x14ac:dyDescent="0.2">
      <c r="A61" s="2"/>
      <c r="B61" s="2"/>
      <c r="C61" s="2"/>
      <c r="D61" s="26"/>
      <c r="E61" s="27"/>
      <c r="F61" s="27"/>
      <c r="G61" s="72" t="s">
        <v>61</v>
      </c>
      <c r="H61" s="34" t="s">
        <v>120</v>
      </c>
      <c r="I61" s="38"/>
      <c r="J61" s="38"/>
      <c r="K61" s="38"/>
      <c r="L61" s="38"/>
      <c r="M61" s="38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1"/>
      <c r="AM61" s="39"/>
      <c r="AN61" s="43"/>
      <c r="AO61" s="2"/>
      <c r="AP61" s="2"/>
      <c r="AQ61" s="2"/>
      <c r="AR61" s="2"/>
      <c r="AS61" s="2"/>
      <c r="AT61" s="44"/>
      <c r="AU61" s="2"/>
      <c r="AV61" s="2"/>
      <c r="AW61" s="2"/>
      <c r="AX61" s="2"/>
      <c r="AY61" s="2"/>
      <c r="AZ61" s="2"/>
      <c r="BA61" s="2"/>
    </row>
    <row r="62" spans="1:53" ht="13.5" customHeight="1" x14ac:dyDescent="0.2">
      <c r="A62" s="2"/>
      <c r="B62" s="2"/>
      <c r="C62" s="2"/>
      <c r="D62" s="26"/>
      <c r="E62" s="27"/>
      <c r="F62" s="27"/>
      <c r="G62" s="41"/>
      <c r="H62" s="40" t="s">
        <v>62</v>
      </c>
      <c r="I62" s="45"/>
      <c r="J62" s="38"/>
      <c r="K62" s="38"/>
      <c r="L62" s="38"/>
      <c r="M62" s="38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1"/>
      <c r="AM62" s="39"/>
      <c r="AN62" s="43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ht="13.5" customHeight="1" x14ac:dyDescent="0.2">
      <c r="A63" s="2"/>
      <c r="B63" s="2"/>
      <c r="C63" s="2"/>
      <c r="D63" s="26"/>
      <c r="E63" s="27"/>
      <c r="F63" s="27"/>
      <c r="G63" s="41"/>
      <c r="H63" s="40" t="s">
        <v>63</v>
      </c>
      <c r="I63" s="45"/>
      <c r="J63" s="38"/>
      <c r="K63" s="38"/>
      <c r="L63" s="38"/>
      <c r="M63" s="38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1"/>
      <c r="AM63" s="39"/>
      <c r="AN63" s="43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ht="13.5" customHeight="1" x14ac:dyDescent="0.2">
      <c r="A64" s="2"/>
      <c r="B64" s="2"/>
      <c r="C64" s="2"/>
      <c r="D64" s="26"/>
      <c r="E64" s="27"/>
      <c r="F64" s="27"/>
      <c r="G64" s="41"/>
      <c r="H64" s="40"/>
      <c r="I64" s="37" t="s">
        <v>115</v>
      </c>
      <c r="J64" s="38"/>
      <c r="K64" s="38"/>
      <c r="L64" s="38"/>
      <c r="M64" s="38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1"/>
      <c r="AM64" s="39"/>
      <c r="AN64" s="43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ht="13.5" customHeight="1" x14ac:dyDescent="0.2">
      <c r="A65" s="2"/>
      <c r="B65" s="2"/>
      <c r="C65" s="2"/>
      <c r="D65" s="26"/>
      <c r="E65" s="27"/>
      <c r="F65" s="27"/>
      <c r="G65" s="28"/>
      <c r="H65" s="40"/>
      <c r="I65" s="37" t="s">
        <v>64</v>
      </c>
      <c r="J65" s="38"/>
      <c r="K65" s="38"/>
      <c r="L65" s="38"/>
      <c r="M65" s="38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1"/>
      <c r="AM65" s="39"/>
      <c r="AN65" s="43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ht="13.5" customHeight="1" x14ac:dyDescent="0.2">
      <c r="A66" s="2"/>
      <c r="B66" s="2"/>
      <c r="C66" s="2"/>
      <c r="D66" s="26"/>
      <c r="E66" s="27"/>
      <c r="F66" s="27"/>
      <c r="G66" s="28"/>
      <c r="H66" s="40"/>
      <c r="I66" s="38" t="s">
        <v>65</v>
      </c>
      <c r="J66" s="38"/>
      <c r="K66" s="38"/>
      <c r="L66" s="38"/>
      <c r="M66" s="38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1"/>
      <c r="AM66" s="39"/>
      <c r="AN66" s="43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 ht="13.5" customHeight="1" x14ac:dyDescent="0.2">
      <c r="A67" s="2"/>
      <c r="B67" s="2"/>
      <c r="C67" s="2"/>
      <c r="D67" s="26"/>
      <c r="E67" s="27"/>
      <c r="F67" s="27"/>
      <c r="G67" s="28"/>
      <c r="H67" s="40"/>
      <c r="I67" s="37" t="s">
        <v>66</v>
      </c>
      <c r="J67" s="37" t="s">
        <v>116</v>
      </c>
      <c r="K67" s="37"/>
      <c r="L67" s="38"/>
      <c r="M67" s="38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1"/>
      <c r="AM67" s="39"/>
      <c r="AN67" s="43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 ht="13.5" customHeight="1" x14ac:dyDescent="0.2">
      <c r="A68" s="2"/>
      <c r="B68" s="2"/>
      <c r="C68" s="2"/>
      <c r="D68" s="26"/>
      <c r="E68" s="27"/>
      <c r="F68" s="27"/>
      <c r="G68" s="41"/>
      <c r="H68" s="40"/>
      <c r="I68" s="47" t="s">
        <v>67</v>
      </c>
      <c r="J68" s="37" t="s">
        <v>68</v>
      </c>
      <c r="K68" s="37"/>
      <c r="L68" s="48"/>
      <c r="M68" s="48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1"/>
      <c r="AM68" s="39"/>
      <c r="AN68" s="43"/>
      <c r="AO68" s="2"/>
      <c r="AP68" s="2"/>
      <c r="AQ68" s="2"/>
      <c r="AR68" s="2"/>
      <c r="AV68" s="2"/>
      <c r="AW68" s="2"/>
      <c r="AX68" s="2"/>
      <c r="AY68" s="2"/>
      <c r="AZ68" s="2"/>
      <c r="BA68" s="2"/>
    </row>
    <row r="69" spans="1:53" ht="13.5" customHeight="1" x14ac:dyDescent="0.2">
      <c r="A69" s="2"/>
      <c r="B69" s="2"/>
      <c r="C69" s="2"/>
      <c r="D69" s="26"/>
      <c r="E69" s="27"/>
      <c r="F69" s="27"/>
      <c r="G69" s="28"/>
      <c r="H69" s="40"/>
      <c r="I69" s="38" t="s">
        <v>117</v>
      </c>
      <c r="J69" s="38"/>
      <c r="K69" s="38"/>
      <c r="L69" s="38"/>
      <c r="M69" s="38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1"/>
      <c r="AM69" s="39"/>
      <c r="AN69" s="43"/>
      <c r="AO69" s="2"/>
      <c r="AP69" s="2"/>
      <c r="AQ69" s="2"/>
      <c r="AR69" s="2"/>
      <c r="AV69" s="2"/>
      <c r="AW69" s="2"/>
      <c r="AX69" s="2"/>
      <c r="AY69" s="2"/>
      <c r="AZ69" s="2"/>
      <c r="BA69" s="2"/>
    </row>
    <row r="70" spans="1:53" ht="13.5" customHeight="1" x14ac:dyDescent="0.2">
      <c r="A70" s="2"/>
      <c r="B70" s="2"/>
      <c r="C70" s="2"/>
      <c r="D70" s="26"/>
      <c r="E70" s="27"/>
      <c r="F70" s="27"/>
      <c r="G70" s="28"/>
      <c r="H70" s="40"/>
      <c r="I70" s="47" t="s">
        <v>69</v>
      </c>
      <c r="J70" s="38" t="s">
        <v>118</v>
      </c>
      <c r="K70" s="49"/>
      <c r="L70" s="37"/>
      <c r="M70" s="37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1"/>
      <c r="AM70" s="39"/>
      <c r="AN70" s="43"/>
      <c r="AO70" s="2"/>
      <c r="AP70" s="2"/>
      <c r="AQ70" s="2"/>
      <c r="AR70" s="2"/>
      <c r="AV70" s="2"/>
      <c r="AW70" s="2"/>
      <c r="AX70" s="2"/>
      <c r="AY70" s="2"/>
      <c r="AZ70" s="2"/>
      <c r="BA70" s="2"/>
    </row>
    <row r="71" spans="1:53" ht="13.5" customHeight="1" x14ac:dyDescent="0.2">
      <c r="A71" s="2"/>
      <c r="B71" s="2"/>
      <c r="C71" s="2"/>
      <c r="D71" s="26"/>
      <c r="E71" s="27"/>
      <c r="F71" s="27"/>
      <c r="G71" s="28"/>
      <c r="H71" s="40"/>
      <c r="I71" s="38"/>
      <c r="J71" s="38"/>
      <c r="K71" s="38"/>
      <c r="L71" s="38"/>
      <c r="M71" s="38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1"/>
      <c r="AM71" s="39"/>
      <c r="AN71" s="43"/>
      <c r="AO71" s="2"/>
      <c r="AP71" s="2"/>
      <c r="AQ71" s="2"/>
      <c r="AR71" s="2"/>
      <c r="AV71" s="2"/>
      <c r="AW71" s="2"/>
      <c r="AX71" s="2"/>
      <c r="AY71" s="2"/>
      <c r="AZ71" s="2"/>
      <c r="BA71" s="2"/>
    </row>
    <row r="72" spans="1:53" ht="13.5" customHeight="1" x14ac:dyDescent="0.2">
      <c r="A72" s="2"/>
      <c r="B72" s="2"/>
      <c r="C72" s="2"/>
      <c r="D72" s="26"/>
      <c r="E72" s="27"/>
      <c r="F72" s="27"/>
      <c r="G72" s="41"/>
      <c r="H72" s="40" t="s">
        <v>133</v>
      </c>
      <c r="I72" s="38"/>
      <c r="J72" s="38"/>
      <c r="K72" s="38"/>
      <c r="L72" s="38"/>
      <c r="M72" s="38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1"/>
      <c r="AM72" s="39"/>
      <c r="AN72" s="43"/>
      <c r="AO72" s="2"/>
      <c r="AP72" s="2"/>
      <c r="AQ72" s="2"/>
      <c r="AR72" s="2"/>
      <c r="AV72" s="2"/>
      <c r="AW72" s="2"/>
      <c r="AX72" s="2"/>
      <c r="AY72" s="2"/>
      <c r="AZ72" s="2"/>
      <c r="BA72" s="2"/>
    </row>
    <row r="73" spans="1:53" ht="13.5" customHeight="1" x14ac:dyDescent="0.2">
      <c r="A73" s="2"/>
      <c r="B73" s="2"/>
      <c r="C73" s="2"/>
      <c r="D73" s="26"/>
      <c r="E73" s="27"/>
      <c r="F73" s="27"/>
      <c r="G73" s="28"/>
      <c r="H73" s="40" t="s">
        <v>132</v>
      </c>
      <c r="I73" s="38"/>
      <c r="J73" s="38"/>
      <c r="K73" s="38"/>
      <c r="L73" s="38"/>
      <c r="M73" s="38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1"/>
      <c r="AM73" s="39"/>
      <c r="AN73" s="43"/>
      <c r="AO73" s="2"/>
      <c r="AP73" s="2"/>
      <c r="AQ73" s="2"/>
      <c r="AR73" s="2"/>
      <c r="AV73" s="2"/>
      <c r="AW73" s="2"/>
      <c r="AX73" s="2"/>
      <c r="AY73" s="2"/>
      <c r="AZ73" s="2"/>
      <c r="BA73" s="2"/>
    </row>
    <row r="74" spans="1:53" ht="13.5" customHeight="1" x14ac:dyDescent="0.2">
      <c r="A74" s="2"/>
      <c r="B74" s="2"/>
      <c r="C74" s="2"/>
      <c r="D74" s="26"/>
      <c r="E74" s="27"/>
      <c r="F74" s="27"/>
      <c r="G74" s="41"/>
      <c r="H74" s="40"/>
      <c r="I74" s="38"/>
      <c r="J74" s="38"/>
      <c r="K74" s="38"/>
      <c r="L74" s="38"/>
      <c r="M74" s="30"/>
      <c r="N74" s="39"/>
      <c r="O74" s="39"/>
      <c r="P74" s="39"/>
      <c r="Q74" s="39"/>
      <c r="R74" s="27"/>
      <c r="S74" s="39"/>
      <c r="T74" s="39"/>
      <c r="U74" s="39"/>
      <c r="V74" s="39"/>
      <c r="W74" s="27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1"/>
      <c r="AM74" s="39"/>
      <c r="AN74" s="43"/>
      <c r="AO74" s="2"/>
      <c r="AP74" s="2"/>
      <c r="AQ74" s="2"/>
      <c r="AR74" s="2"/>
      <c r="AV74" s="2"/>
      <c r="AW74" s="2"/>
      <c r="AX74" s="2"/>
      <c r="AY74" s="2"/>
      <c r="AZ74" s="2"/>
      <c r="BA74" s="2"/>
    </row>
    <row r="75" spans="1:53" ht="13.5" customHeight="1" x14ac:dyDescent="0.2">
      <c r="A75" s="2"/>
      <c r="B75" s="2"/>
      <c r="C75" s="2"/>
      <c r="D75" s="26"/>
      <c r="E75" s="27"/>
      <c r="F75" s="27"/>
      <c r="G75" s="72" t="s">
        <v>122</v>
      </c>
      <c r="H75" s="34" t="s">
        <v>121</v>
      </c>
      <c r="I75" s="38"/>
      <c r="J75" s="38"/>
      <c r="K75" s="38"/>
      <c r="L75" s="38"/>
      <c r="M75" s="30"/>
      <c r="N75" s="39"/>
      <c r="O75" s="39"/>
      <c r="P75" s="39"/>
      <c r="Q75" s="39"/>
      <c r="R75" s="27"/>
      <c r="S75" s="39"/>
      <c r="T75" s="39"/>
      <c r="U75" s="39"/>
      <c r="V75" s="39"/>
      <c r="W75" s="27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1"/>
      <c r="AM75" s="39"/>
      <c r="AN75" s="43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 ht="13.5" customHeight="1" x14ac:dyDescent="0.2">
      <c r="A76" s="2"/>
      <c r="B76" s="2"/>
      <c r="C76" s="2"/>
      <c r="D76" s="26"/>
      <c r="E76" s="27"/>
      <c r="F76" s="27"/>
      <c r="G76" s="50"/>
      <c r="H76" s="40" t="s">
        <v>70</v>
      </c>
      <c r="I76" s="38"/>
      <c r="J76" s="51"/>
      <c r="K76" s="51"/>
      <c r="L76" s="37"/>
      <c r="M76" s="30"/>
      <c r="N76" s="39"/>
      <c r="O76" s="39"/>
      <c r="P76" s="39"/>
      <c r="Q76" s="39"/>
      <c r="R76" s="27"/>
      <c r="S76" s="39"/>
      <c r="T76" s="39"/>
      <c r="U76" s="39"/>
      <c r="V76" s="39"/>
      <c r="W76" s="27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1"/>
      <c r="AM76" s="39"/>
      <c r="AN76" s="43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ht="13.5" customHeight="1" x14ac:dyDescent="0.2">
      <c r="A77" s="2"/>
      <c r="B77" s="2"/>
      <c r="C77" s="2"/>
      <c r="D77" s="26"/>
      <c r="E77" s="27"/>
      <c r="F77" s="27"/>
      <c r="G77" s="28"/>
      <c r="H77" s="40" t="s">
        <v>71</v>
      </c>
      <c r="I77" s="38"/>
      <c r="J77" s="51"/>
      <c r="K77" s="51"/>
      <c r="L77" s="38"/>
      <c r="M77" s="30"/>
      <c r="N77" s="51"/>
      <c r="O77" s="39"/>
      <c r="P77" s="39"/>
      <c r="Q77" s="39"/>
      <c r="R77" s="27"/>
      <c r="S77" s="39"/>
      <c r="T77" s="39"/>
      <c r="U77" s="39"/>
      <c r="V77" s="39"/>
      <c r="W77" s="27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1"/>
      <c r="AM77" s="39"/>
      <c r="AN77" s="43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ht="13.5" customHeight="1" x14ac:dyDescent="0.25">
      <c r="A78" s="2"/>
      <c r="B78" s="2"/>
      <c r="C78" s="2"/>
      <c r="D78" s="26"/>
      <c r="E78" s="27"/>
      <c r="F78" s="27"/>
      <c r="G78" s="50"/>
      <c r="H78" s="40"/>
      <c r="I78" s="52"/>
      <c r="J78" s="38"/>
      <c r="K78" s="38"/>
      <c r="L78" s="38"/>
      <c r="M78" s="38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1"/>
      <c r="AM78" s="39"/>
      <c r="AN78" s="43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ht="13.5" customHeight="1" x14ac:dyDescent="0.2">
      <c r="A79" s="2"/>
      <c r="B79" s="2"/>
      <c r="C79" s="2"/>
      <c r="D79" s="26"/>
      <c r="E79" s="27"/>
      <c r="F79" s="27"/>
      <c r="G79" s="28"/>
      <c r="H79" s="40"/>
      <c r="I79" s="38"/>
      <c r="J79" s="38"/>
      <c r="K79" s="38"/>
      <c r="L79" s="38"/>
      <c r="M79" s="38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1"/>
      <c r="AM79" s="39"/>
      <c r="AN79" s="43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ht="13.5" customHeight="1" x14ac:dyDescent="0.2">
      <c r="A80" s="2"/>
      <c r="B80" s="2"/>
      <c r="C80" s="2"/>
      <c r="D80" s="26"/>
      <c r="E80" s="27"/>
      <c r="F80" s="27"/>
      <c r="G80" s="28"/>
      <c r="H80" s="40"/>
      <c r="I80" s="38"/>
      <c r="J80" s="38"/>
      <c r="K80" s="38"/>
      <c r="L80" s="38"/>
      <c r="M80" s="38"/>
      <c r="N80" s="39"/>
      <c r="O80" s="39"/>
      <c r="P80" s="39"/>
      <c r="Q80" s="39"/>
      <c r="R80" s="39"/>
      <c r="S80" s="39"/>
      <c r="T80" s="46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1"/>
      <c r="AM80" s="39"/>
      <c r="AN80" s="43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ht="13.5" customHeight="1" x14ac:dyDescent="0.2">
      <c r="A81" s="2"/>
      <c r="B81" s="2"/>
      <c r="C81" s="2"/>
      <c r="D81" s="26"/>
      <c r="E81" s="27"/>
      <c r="F81" s="27"/>
      <c r="G81" s="28"/>
      <c r="H81" s="40"/>
      <c r="I81" s="38"/>
      <c r="J81" s="37"/>
      <c r="K81" s="37"/>
      <c r="L81" s="38"/>
      <c r="M81" s="38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1"/>
      <c r="AM81" s="39"/>
      <c r="AN81" s="43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ht="13.5" customHeight="1" x14ac:dyDescent="0.2">
      <c r="A82" s="2"/>
      <c r="B82" s="2"/>
      <c r="C82" s="2"/>
      <c r="D82" s="26"/>
      <c r="E82" s="27"/>
      <c r="F82" s="27"/>
      <c r="G82" s="28"/>
      <c r="H82" s="40"/>
      <c r="I82" s="38"/>
      <c r="J82" s="53"/>
      <c r="K82" s="53"/>
      <c r="L82" s="38"/>
      <c r="M82" s="38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1"/>
      <c r="AM82" s="39"/>
      <c r="AN82" s="43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ht="13.5" customHeight="1" x14ac:dyDescent="0.2">
      <c r="A83" s="2"/>
      <c r="B83" s="2"/>
      <c r="C83" s="2"/>
      <c r="D83" s="26"/>
      <c r="E83" s="27"/>
      <c r="F83" s="27"/>
      <c r="G83" s="28"/>
      <c r="H83" s="40"/>
      <c r="I83" s="37"/>
      <c r="J83" s="38"/>
      <c r="K83" s="38"/>
      <c r="L83" s="38"/>
      <c r="M83" s="38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1"/>
      <c r="AM83" s="39"/>
      <c r="AN83" s="43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ht="13.5" customHeight="1" x14ac:dyDescent="0.2">
      <c r="A84" s="2"/>
      <c r="B84" s="2"/>
      <c r="C84" s="2"/>
      <c r="D84" s="26"/>
      <c r="E84" s="27"/>
      <c r="F84" s="27"/>
      <c r="G84" s="28"/>
      <c r="H84" s="40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1"/>
      <c r="AM84" s="39"/>
      <c r="AN84" s="43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ht="13.5" customHeight="1" x14ac:dyDescent="0.2">
      <c r="A85" s="2"/>
      <c r="B85" s="2"/>
      <c r="C85" s="2"/>
      <c r="D85" s="26"/>
      <c r="E85" s="27"/>
      <c r="F85" s="27"/>
      <c r="G85" s="28"/>
      <c r="H85" s="40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1"/>
      <c r="AM85" s="39"/>
      <c r="AN85" s="43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ht="13.5" customHeight="1" x14ac:dyDescent="0.2">
      <c r="A86" s="2"/>
      <c r="B86" s="2"/>
      <c r="C86" s="2"/>
      <c r="D86" s="26"/>
      <c r="E86" s="27"/>
      <c r="F86" s="27"/>
      <c r="G86" s="28"/>
      <c r="H86" s="40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1"/>
      <c r="AM86" s="39"/>
      <c r="AN86" s="43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ht="13.5" customHeight="1" x14ac:dyDescent="0.2">
      <c r="A87" s="2"/>
      <c r="B87" s="2"/>
      <c r="C87" s="2"/>
      <c r="D87" s="26"/>
      <c r="E87" s="27"/>
      <c r="F87" s="27"/>
      <c r="G87" s="28"/>
      <c r="H87" s="40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1"/>
      <c r="AM87" s="39"/>
      <c r="AN87" s="43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ht="13.5" customHeight="1" x14ac:dyDescent="0.2">
      <c r="A88" s="2"/>
      <c r="B88" s="2"/>
      <c r="C88" s="2"/>
      <c r="D88" s="26"/>
      <c r="E88" s="27"/>
      <c r="F88" s="27"/>
      <c r="G88" s="28"/>
      <c r="H88" s="40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1"/>
      <c r="AM88" s="39"/>
      <c r="AN88" s="43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ht="13.5" customHeight="1" x14ac:dyDescent="0.2">
      <c r="A89" s="2"/>
      <c r="B89" s="2"/>
      <c r="C89" s="2"/>
      <c r="D89" s="26"/>
      <c r="E89" s="27"/>
      <c r="F89" s="27"/>
      <c r="G89" s="28"/>
      <c r="H89" s="40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1"/>
      <c r="AM89" s="39"/>
      <c r="AN89" s="43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ht="13.5" customHeight="1" x14ac:dyDescent="0.25">
      <c r="A90" s="2"/>
      <c r="B90" s="2"/>
      <c r="C90" s="2"/>
      <c r="D90" s="26"/>
      <c r="E90" s="27"/>
      <c r="F90" s="27"/>
      <c r="G90" s="28"/>
      <c r="H90" s="42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31"/>
      <c r="AM90" s="32"/>
      <c r="AN90" s="33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ht="13.5" customHeight="1" x14ac:dyDescent="0.25">
      <c r="A91" s="2"/>
      <c r="B91" s="2"/>
      <c r="C91" s="2"/>
      <c r="D91" s="26"/>
      <c r="E91" s="27"/>
      <c r="F91" s="27"/>
      <c r="G91" s="28"/>
      <c r="H91" s="42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31"/>
      <c r="AM91" s="32"/>
      <c r="AN91" s="33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ht="13.5" customHeight="1" x14ac:dyDescent="0.25">
      <c r="A92" s="2"/>
      <c r="B92" s="2"/>
      <c r="C92" s="2"/>
      <c r="D92" s="26"/>
      <c r="E92" s="27"/>
      <c r="F92" s="27"/>
      <c r="G92" s="28"/>
      <c r="H92" s="42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31"/>
      <c r="AM92" s="32"/>
      <c r="AN92" s="33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3" ht="13.5" customHeight="1" x14ac:dyDescent="0.25">
      <c r="A93" s="2"/>
      <c r="B93" s="2"/>
      <c r="C93" s="2"/>
      <c r="D93" s="55"/>
      <c r="E93" s="54"/>
      <c r="F93" s="54"/>
      <c r="G93" s="56"/>
      <c r="H93" s="42"/>
      <c r="I93" s="54"/>
      <c r="J93" s="57"/>
      <c r="K93" s="57"/>
      <c r="L93" s="57"/>
      <c r="M93" s="57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31"/>
      <c r="AM93" s="58"/>
      <c r="AN93" s="59"/>
      <c r="AO93" s="2"/>
      <c r="AP93" s="2"/>
      <c r="AQ93" s="2"/>
      <c r="AR93" s="4"/>
      <c r="AS93" s="2"/>
      <c r="AT93" s="2"/>
      <c r="AU93" s="2"/>
      <c r="AV93" s="2"/>
      <c r="AW93" s="2"/>
      <c r="AX93" s="2"/>
      <c r="AY93" s="2"/>
      <c r="AZ93" s="2"/>
    </row>
    <row r="94" spans="1:53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31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42</v>
      </c>
      <c r="AW94" s="2"/>
      <c r="AX94" s="2"/>
      <c r="AY94" s="2"/>
      <c r="AZ94" s="2"/>
    </row>
    <row r="95" spans="1:53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</sheetData>
  <sheetProtection algorithmName="SHA-512" hashValue="JDtVQwrdKDRQgngf4qAnv84bJxNud0R+CfvXq1UTKGbp+7eFOkCZBMa+BMs0iqqFEJFymeF5wFvrYRp+h6rsBQ==" saltValue="mtEGPyYzt9ts0a427oB5oQ==" spinCount="100000" sheet="1" formatCells="0" formatColumns="0" formatRows="0" insertColumns="0"/>
  <dataConsolidate link="1"/>
  <mergeCells count="11">
    <mergeCell ref="H10:O10"/>
    <mergeCell ref="S10:X10"/>
    <mergeCell ref="I12:O12"/>
    <mergeCell ref="H2:AD2"/>
    <mergeCell ref="AE2:AG2"/>
    <mergeCell ref="AB4:AG4"/>
    <mergeCell ref="S5:X6"/>
    <mergeCell ref="H6:O6"/>
    <mergeCell ref="H8:O8"/>
    <mergeCell ref="S8:X8"/>
    <mergeCell ref="AB8:AG8"/>
  </mergeCells>
  <phoneticPr fontId="10" type="noConversion"/>
  <printOptions horizontalCentered="1" verticalCentered="1"/>
  <pageMargins left="0.25" right="0.25" top="0" bottom="0" header="0" footer="0"/>
  <pageSetup paperSize="9" scale="65" orientation="portrait" r:id="rId1"/>
  <headerFooter alignWithMargins="0"/>
  <rowBreaks count="1" manualBreakCount="1">
    <brk id="74" min="2" max="39" man="1"/>
  </rowBreaks>
  <colBreaks count="1" manualBreakCount="1">
    <brk id="42" max="9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36BE-2EBB-4381-B943-C717230A2FFD}">
  <dimension ref="A1:AH699"/>
  <sheetViews>
    <sheetView tabSelected="1" topLeftCell="E1" zoomScale="85" zoomScaleNormal="85" zoomScaleSheetLayoutView="85" workbookViewId="0">
      <selection activeCell="P17" sqref="P17"/>
    </sheetView>
  </sheetViews>
  <sheetFormatPr defaultColWidth="11.5546875" defaultRowHeight="13.2" x14ac:dyDescent="0.25"/>
  <cols>
    <col min="1" max="23" width="11.5546875" style="1"/>
    <col min="24" max="24" width="11.5546875" style="131"/>
    <col min="25" max="25" width="11.5546875" style="132"/>
    <col min="26" max="16384" width="11.5546875" style="1"/>
  </cols>
  <sheetData>
    <row r="1" spans="1:34" ht="29.85" customHeight="1" x14ac:dyDescent="0.25">
      <c r="A1" s="208" t="s">
        <v>168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198"/>
      <c r="AD1" s="198"/>
      <c r="AE1" s="199"/>
    </row>
    <row r="2" spans="1:34" ht="29.85" customHeight="1" x14ac:dyDescent="0.25">
      <c r="A2" s="206" t="s">
        <v>162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0"/>
      <c r="AD2" s="200"/>
      <c r="AE2" s="201"/>
    </row>
    <row r="3" spans="1:34" ht="29.85" customHeight="1" thickBot="1" x14ac:dyDescent="0.3">
      <c r="A3" s="204" t="s">
        <v>163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2"/>
      <c r="AD3" s="202"/>
      <c r="AE3" s="203"/>
    </row>
    <row r="4" spans="1:34" ht="18" x14ac:dyDescent="0.25">
      <c r="A4" s="143" t="s">
        <v>145</v>
      </c>
      <c r="B4" s="144"/>
      <c r="C4" s="144"/>
      <c r="D4" s="83"/>
      <c r="E4" s="83"/>
      <c r="F4" s="83"/>
      <c r="G4" s="83"/>
      <c r="H4" s="83"/>
      <c r="I4" s="83"/>
      <c r="J4" s="83"/>
      <c r="K4" s="145"/>
      <c r="L4" s="145"/>
      <c r="M4" s="146"/>
      <c r="N4" s="83"/>
      <c r="O4" s="83"/>
      <c r="P4" s="83"/>
      <c r="Q4" s="83"/>
      <c r="R4" s="83"/>
      <c r="S4" s="83"/>
      <c r="T4" s="83"/>
      <c r="U4" s="83"/>
      <c r="V4" s="83"/>
      <c r="W4" s="83"/>
      <c r="X4" s="130"/>
      <c r="Y4" s="83"/>
      <c r="Z4" s="83"/>
      <c r="AA4" s="83"/>
      <c r="AB4" s="83"/>
      <c r="AC4" s="83"/>
      <c r="AD4" s="83"/>
      <c r="AE4" s="91"/>
    </row>
    <row r="5" spans="1:34" ht="18.600000000000001" thickBot="1" x14ac:dyDescent="0.3">
      <c r="A5" s="147" t="s">
        <v>144</v>
      </c>
      <c r="B5" s="148" t="s">
        <v>169</v>
      </c>
      <c r="C5" s="148"/>
      <c r="D5" s="140"/>
      <c r="E5" s="140"/>
      <c r="F5" s="140"/>
      <c r="G5" s="140"/>
      <c r="H5" s="140"/>
      <c r="I5" s="140"/>
      <c r="J5" s="140"/>
      <c r="K5" s="139"/>
      <c r="L5" s="139"/>
      <c r="M5" s="149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50"/>
      <c r="Y5" s="140"/>
      <c r="Z5" s="140"/>
      <c r="AA5" s="140"/>
      <c r="AB5" s="140"/>
      <c r="AC5" s="140"/>
      <c r="AD5" s="140"/>
      <c r="AE5" s="133"/>
    </row>
    <row r="6" spans="1:34" ht="13.35" customHeight="1" thickBot="1" x14ac:dyDescent="0.3">
      <c r="A6" s="210" t="s">
        <v>166</v>
      </c>
      <c r="B6" s="211"/>
      <c r="C6" s="211"/>
      <c r="D6" s="211"/>
      <c r="E6" s="211"/>
      <c r="F6" s="211"/>
      <c r="G6" s="211"/>
      <c r="H6" s="211"/>
      <c r="I6" s="211"/>
      <c r="J6" s="212"/>
      <c r="K6" s="213" t="s">
        <v>167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/>
      <c r="X6" s="216" t="s">
        <v>2</v>
      </c>
      <c r="Y6" s="217"/>
      <c r="Z6" s="213" t="s">
        <v>3</v>
      </c>
      <c r="AA6" s="214"/>
      <c r="AB6" s="215"/>
      <c r="AC6" s="210" t="s">
        <v>4</v>
      </c>
      <c r="AD6" s="211"/>
      <c r="AE6" s="212"/>
      <c r="AF6" s="210" t="s">
        <v>40</v>
      </c>
      <c r="AG6" s="211"/>
      <c r="AH6" s="212"/>
    </row>
    <row r="7" spans="1:34" ht="50.85" customHeight="1" thickBot="1" x14ac:dyDescent="0.3">
      <c r="A7" s="179" t="s">
        <v>35</v>
      </c>
      <c r="B7" s="180" t="s">
        <v>36</v>
      </c>
      <c r="C7" s="180" t="s">
        <v>37</v>
      </c>
      <c r="D7" s="195" t="s">
        <v>34</v>
      </c>
      <c r="E7" s="180" t="s">
        <v>5</v>
      </c>
      <c r="F7" s="180" t="s">
        <v>128</v>
      </c>
      <c r="G7" s="180" t="s">
        <v>6</v>
      </c>
      <c r="H7" s="180" t="s">
        <v>7</v>
      </c>
      <c r="I7" s="180" t="s">
        <v>8</v>
      </c>
      <c r="J7" s="181" t="s">
        <v>9</v>
      </c>
      <c r="K7" s="179" t="s">
        <v>74</v>
      </c>
      <c r="L7" s="180" t="s">
        <v>75</v>
      </c>
      <c r="M7" s="180" t="s">
        <v>10</v>
      </c>
      <c r="N7" s="180" t="s">
        <v>11</v>
      </c>
      <c r="O7" s="180" t="s">
        <v>12</v>
      </c>
      <c r="P7" s="180" t="s">
        <v>165</v>
      </c>
      <c r="Q7" s="180" t="s">
        <v>17</v>
      </c>
      <c r="R7" s="180" t="s">
        <v>155</v>
      </c>
      <c r="S7" s="180" t="s">
        <v>13</v>
      </c>
      <c r="T7" s="180" t="s">
        <v>18</v>
      </c>
      <c r="U7" s="180" t="s">
        <v>14</v>
      </c>
      <c r="V7" s="180" t="s">
        <v>15</v>
      </c>
      <c r="W7" s="181" t="s">
        <v>16</v>
      </c>
      <c r="X7" s="184" t="s">
        <v>19</v>
      </c>
      <c r="Y7" s="181" t="s">
        <v>20</v>
      </c>
      <c r="Z7" s="179" t="s">
        <v>21</v>
      </c>
      <c r="AA7" s="180" t="s">
        <v>22</v>
      </c>
      <c r="AB7" s="181" t="s">
        <v>41</v>
      </c>
      <c r="AC7" s="179" t="s">
        <v>23</v>
      </c>
      <c r="AD7" s="180" t="s">
        <v>21</v>
      </c>
      <c r="AE7" s="181" t="s">
        <v>22</v>
      </c>
      <c r="AF7" s="179" t="s">
        <v>38</v>
      </c>
      <c r="AG7" s="180" t="s">
        <v>39</v>
      </c>
      <c r="AH7" s="181" t="s">
        <v>156</v>
      </c>
    </row>
    <row r="8" spans="1:34" ht="12.6" customHeight="1" x14ac:dyDescent="0.25">
      <c r="A8" s="170">
        <v>1</v>
      </c>
      <c r="B8" s="170"/>
      <c r="C8" s="191"/>
      <c r="D8" s="186"/>
      <c r="E8" s="193">
        <v>113.5</v>
      </c>
      <c r="F8" s="170">
        <f>G8*10000</f>
        <v>3095</v>
      </c>
      <c r="G8" s="172">
        <v>0.3095</v>
      </c>
      <c r="H8" s="172">
        <v>0.95</v>
      </c>
      <c r="I8" s="170">
        <v>50</v>
      </c>
      <c r="J8" s="268">
        <f>(10*H8*I8*G8)/3600</f>
        <v>4.083680555555555E-2</v>
      </c>
      <c r="K8" s="172">
        <v>0.4</v>
      </c>
      <c r="L8" s="172">
        <v>0.4</v>
      </c>
      <c r="M8" s="172">
        <v>0.1</v>
      </c>
      <c r="N8" s="172">
        <f>L8-M8</f>
        <v>0.30000000000000004</v>
      </c>
      <c r="O8" s="170">
        <f t="shared" ref="O8" si="0">K8*N8</f>
        <v>0.12000000000000002</v>
      </c>
      <c r="P8" s="172">
        <f t="shared" ref="P8" si="1">K8+(2*N8)</f>
        <v>1</v>
      </c>
      <c r="Q8" s="172">
        <v>1000</v>
      </c>
      <c r="R8" s="176">
        <f>1/Q8</f>
        <v>1E-3</v>
      </c>
      <c r="S8" s="172">
        <f t="shared" ref="S8" si="2">O8/P8</f>
        <v>0.12000000000000002</v>
      </c>
      <c r="T8" s="175">
        <v>1.2999999999999999E-2</v>
      </c>
      <c r="U8" s="172">
        <f>1/T8</f>
        <v>76.92307692307692</v>
      </c>
      <c r="V8" s="175">
        <f t="shared" ref="V8" si="3">U8*S8^(2/3)*R8^(1/2)*O8</f>
        <v>7.1016411674707583E-2</v>
      </c>
      <c r="W8" s="170" t="b">
        <f t="shared" ref="W8" si="4">IF(AND(J8&lt;=V8),TRUE,FALSE)</f>
        <v>1</v>
      </c>
      <c r="X8" s="175">
        <f>U8*S8^(2/3)*R8^(1/2)</f>
        <v>0.59180343062256313</v>
      </c>
      <c r="Y8" s="170" t="b">
        <f>IF(AND(X8&gt;=0.75),TRUE,FALSE)</f>
        <v>0</v>
      </c>
      <c r="Z8" s="172"/>
      <c r="AA8" s="172"/>
      <c r="AB8" s="172">
        <v>0.15</v>
      </c>
      <c r="AC8" s="175">
        <f>E8*R8</f>
        <v>0.1135</v>
      </c>
      <c r="AD8" s="172">
        <f>$Z8-$L8-$AB8</f>
        <v>-0.55000000000000004</v>
      </c>
      <c r="AE8" s="172">
        <f>AD8-AC8</f>
        <v>-0.66350000000000009</v>
      </c>
      <c r="AF8" s="177"/>
      <c r="AG8" s="172"/>
      <c r="AH8" s="172">
        <f>Z8-AE8</f>
        <v>0.66350000000000009</v>
      </c>
    </row>
    <row r="9" spans="1:34" ht="12.6" customHeight="1" x14ac:dyDescent="0.25">
      <c r="A9" s="134"/>
      <c r="B9" s="134"/>
      <c r="C9" s="192"/>
      <c r="D9" s="186"/>
      <c r="E9" s="193">
        <v>114.5</v>
      </c>
      <c r="F9" s="170">
        <f>G9*10000</f>
        <v>3095</v>
      </c>
      <c r="G9" s="172">
        <v>0.3095</v>
      </c>
      <c r="H9" s="172">
        <v>0.95</v>
      </c>
      <c r="I9" s="170">
        <v>50</v>
      </c>
      <c r="J9" s="268">
        <f>(10*H9*I9*G9)/3600</f>
        <v>4.083680555555555E-2</v>
      </c>
      <c r="K9" s="172">
        <v>0.4</v>
      </c>
      <c r="L9" s="172">
        <v>0.4</v>
      </c>
      <c r="M9" s="172">
        <v>0.1</v>
      </c>
      <c r="N9" s="172">
        <f>L9-M9</f>
        <v>0.30000000000000004</v>
      </c>
      <c r="O9" s="170">
        <f t="shared" ref="O9" si="5">K9*N9</f>
        <v>0.12000000000000002</v>
      </c>
      <c r="P9" s="172">
        <f t="shared" ref="P9" si="6">K9+(2*N9)</f>
        <v>1</v>
      </c>
      <c r="Q9" s="172">
        <v>1000</v>
      </c>
      <c r="R9" s="176">
        <f>1/Q9</f>
        <v>1E-3</v>
      </c>
      <c r="S9" s="172">
        <f t="shared" ref="S9" si="7">O9/P9</f>
        <v>0.12000000000000002</v>
      </c>
      <c r="T9" s="175">
        <v>1.0129999999999999</v>
      </c>
      <c r="U9" s="172">
        <f>1/T9</f>
        <v>0.98716683119447202</v>
      </c>
      <c r="V9" s="175">
        <f t="shared" ref="V9" si="8">U9*S9^(2/3)*R9^(1/2)*O9</f>
        <v>9.113655989844016E-4</v>
      </c>
      <c r="W9" s="170" t="b">
        <f t="shared" ref="W9" si="9">IF(AND(J9&lt;=V9),TRUE,FALSE)</f>
        <v>0</v>
      </c>
      <c r="X9" s="175">
        <f>U9*S9^(2/3)*R9^(1/2)</f>
        <v>7.5947133248700114E-3</v>
      </c>
      <c r="Y9" s="170" t="b">
        <f>IF(AND(X9&gt;=0.75),TRUE,FALSE)</f>
        <v>0</v>
      </c>
      <c r="Z9" s="172"/>
      <c r="AA9" s="172"/>
      <c r="AB9" s="172">
        <v>1.1499999999999999</v>
      </c>
      <c r="AC9" s="175"/>
      <c r="AD9" s="172"/>
      <c r="AE9" s="172"/>
      <c r="AF9" s="178"/>
      <c r="AG9" s="171"/>
      <c r="AH9" s="171"/>
    </row>
    <row r="10" spans="1:34" ht="13.5" customHeight="1" x14ac:dyDescent="0.25">
      <c r="A10" s="134"/>
      <c r="B10" s="134"/>
      <c r="C10" s="192"/>
      <c r="D10" s="186"/>
      <c r="E10" s="194"/>
      <c r="F10" s="134"/>
      <c r="G10" s="171"/>
      <c r="H10" s="172"/>
      <c r="I10" s="170"/>
      <c r="J10" s="175"/>
      <c r="K10" s="171"/>
      <c r="L10" s="171"/>
      <c r="M10" s="172"/>
      <c r="N10" s="172"/>
      <c r="O10" s="170"/>
      <c r="P10" s="172"/>
      <c r="Q10" s="172"/>
      <c r="R10" s="176"/>
      <c r="S10" s="172"/>
      <c r="T10" s="175"/>
      <c r="U10" s="172"/>
      <c r="V10" s="175"/>
      <c r="W10" s="170"/>
      <c r="X10" s="175"/>
      <c r="Y10" s="170"/>
      <c r="Z10" s="171"/>
      <c r="AA10" s="171"/>
      <c r="AB10" s="172"/>
      <c r="AC10" s="175"/>
      <c r="AD10" s="172"/>
      <c r="AE10" s="172"/>
      <c r="AF10" s="178"/>
      <c r="AG10" s="171"/>
      <c r="AH10" s="171"/>
    </row>
    <row r="11" spans="1:34" ht="13.5" customHeight="1" x14ac:dyDescent="0.25">
      <c r="A11" s="134"/>
      <c r="B11" s="134"/>
      <c r="C11" s="192"/>
      <c r="D11" s="186"/>
      <c r="E11" s="194"/>
      <c r="F11" s="134"/>
      <c r="G11" s="171"/>
      <c r="H11" s="172"/>
      <c r="I11" s="170"/>
      <c r="J11" s="175"/>
      <c r="K11" s="171"/>
      <c r="L11" s="171"/>
      <c r="M11" s="172"/>
      <c r="N11" s="172"/>
      <c r="O11" s="170"/>
      <c r="P11" s="172"/>
      <c r="Q11" s="172"/>
      <c r="R11" s="176"/>
      <c r="S11" s="172"/>
      <c r="T11" s="175"/>
      <c r="U11" s="172"/>
      <c r="V11" s="175"/>
      <c r="W11" s="170"/>
      <c r="X11" s="175"/>
      <c r="Y11" s="170"/>
      <c r="Z11" s="171"/>
      <c r="AA11" s="171"/>
      <c r="AB11" s="172"/>
      <c r="AC11" s="175"/>
      <c r="AD11" s="172"/>
      <c r="AE11" s="172"/>
      <c r="AF11" s="178"/>
      <c r="AG11" s="171"/>
      <c r="AH11" s="171"/>
    </row>
    <row r="12" spans="1:34" ht="12.6" customHeight="1" x14ac:dyDescent="0.25">
      <c r="A12" s="134"/>
      <c r="B12" s="134"/>
      <c r="C12" s="192"/>
      <c r="D12" s="186"/>
      <c r="E12" s="194"/>
      <c r="F12" s="134"/>
      <c r="G12" s="171"/>
      <c r="H12" s="172"/>
      <c r="I12" s="170"/>
      <c r="J12" s="175"/>
      <c r="K12" s="171"/>
      <c r="L12" s="171"/>
      <c r="M12" s="172"/>
      <c r="N12" s="172"/>
      <c r="O12" s="170"/>
      <c r="P12" s="172"/>
      <c r="Q12" s="172"/>
      <c r="R12" s="176"/>
      <c r="S12" s="172"/>
      <c r="T12" s="175"/>
      <c r="U12" s="172"/>
      <c r="V12" s="175"/>
      <c r="W12" s="170"/>
      <c r="X12" s="175"/>
      <c r="Y12" s="170"/>
      <c r="Z12" s="171"/>
      <c r="AA12" s="171"/>
      <c r="AB12" s="172"/>
      <c r="AC12" s="175"/>
      <c r="AD12" s="172"/>
      <c r="AE12" s="172"/>
      <c r="AF12" s="178"/>
      <c r="AG12" s="171"/>
      <c r="AH12" s="171"/>
    </row>
    <row r="13" spans="1:34" ht="12.6" customHeight="1" x14ac:dyDescent="0.25">
      <c r="A13" s="134"/>
      <c r="B13" s="134"/>
      <c r="C13" s="192"/>
      <c r="D13" s="186"/>
      <c r="E13" s="194"/>
      <c r="F13" s="134"/>
      <c r="G13" s="171"/>
      <c r="H13" s="172"/>
      <c r="I13" s="170"/>
      <c r="J13" s="175"/>
      <c r="K13" s="171"/>
      <c r="L13" s="171"/>
      <c r="M13" s="172"/>
      <c r="N13" s="172"/>
      <c r="O13" s="170"/>
      <c r="P13" s="172"/>
      <c r="Q13" s="172"/>
      <c r="R13" s="176"/>
      <c r="S13" s="172"/>
      <c r="T13" s="175"/>
      <c r="U13" s="172"/>
      <c r="V13" s="175"/>
      <c r="W13" s="170"/>
      <c r="X13" s="175"/>
      <c r="Y13" s="170"/>
      <c r="Z13" s="171"/>
      <c r="AA13" s="171"/>
      <c r="AB13" s="172"/>
      <c r="AC13" s="175"/>
      <c r="AD13" s="172"/>
      <c r="AE13" s="172"/>
      <c r="AF13" s="178"/>
      <c r="AG13" s="171"/>
      <c r="AH13" s="171"/>
    </row>
    <row r="14" spans="1:34" ht="12.6" customHeight="1" x14ac:dyDescent="0.25">
      <c r="A14" s="134"/>
      <c r="B14" s="134"/>
      <c r="C14" s="192"/>
      <c r="D14" s="186"/>
      <c r="E14" s="194"/>
      <c r="F14" s="134"/>
      <c r="G14" s="171"/>
      <c r="H14" s="172"/>
      <c r="I14" s="170"/>
      <c r="J14" s="175"/>
      <c r="K14" s="171"/>
      <c r="L14" s="171"/>
      <c r="M14" s="172"/>
      <c r="N14" s="172"/>
      <c r="O14" s="170"/>
      <c r="P14" s="172"/>
      <c r="Q14" s="172"/>
      <c r="R14" s="176"/>
      <c r="S14" s="172"/>
      <c r="T14" s="175"/>
      <c r="U14" s="172"/>
      <c r="V14" s="175"/>
      <c r="W14" s="170"/>
      <c r="X14" s="175"/>
      <c r="Y14" s="170"/>
      <c r="Z14" s="171"/>
      <c r="AA14" s="171"/>
      <c r="AB14" s="172"/>
      <c r="AC14" s="175"/>
      <c r="AD14" s="172"/>
      <c r="AE14" s="172"/>
      <c r="AF14" s="178"/>
      <c r="AG14" s="171"/>
      <c r="AH14" s="171"/>
    </row>
    <row r="15" spans="1:34" ht="12.6" customHeight="1" x14ac:dyDescent="0.25">
      <c r="A15" s="134"/>
      <c r="B15" s="134"/>
      <c r="C15" s="192"/>
      <c r="D15" s="186"/>
      <c r="E15" s="194"/>
      <c r="F15" s="134"/>
      <c r="G15" s="171"/>
      <c r="H15" s="172"/>
      <c r="I15" s="170"/>
      <c r="J15" s="175"/>
      <c r="K15" s="171"/>
      <c r="L15" s="171"/>
      <c r="M15" s="172"/>
      <c r="N15" s="172"/>
      <c r="O15" s="170"/>
      <c r="P15" s="172"/>
      <c r="Q15" s="172"/>
      <c r="R15" s="176"/>
      <c r="S15" s="172"/>
      <c r="T15" s="175"/>
      <c r="U15" s="172"/>
      <c r="V15" s="175"/>
      <c r="W15" s="170"/>
      <c r="X15" s="175"/>
      <c r="Y15" s="170"/>
      <c r="Z15" s="171"/>
      <c r="AA15" s="171"/>
      <c r="AB15" s="172"/>
      <c r="AC15" s="175"/>
      <c r="AD15" s="172"/>
      <c r="AE15" s="172"/>
      <c r="AF15" s="134"/>
      <c r="AG15" s="134"/>
      <c r="AH15" s="171"/>
    </row>
    <row r="16" spans="1:34" ht="12.6" customHeight="1" x14ac:dyDescent="0.25">
      <c r="A16" s="134"/>
      <c r="B16" s="134"/>
      <c r="C16" s="192"/>
      <c r="D16" s="186"/>
      <c r="E16" s="194"/>
      <c r="F16" s="134"/>
      <c r="G16" s="171"/>
      <c r="H16" s="172"/>
      <c r="I16" s="170"/>
      <c r="J16" s="175"/>
      <c r="K16" s="171"/>
      <c r="L16" s="171"/>
      <c r="M16" s="172"/>
      <c r="N16" s="172"/>
      <c r="O16" s="170"/>
      <c r="P16" s="172"/>
      <c r="Q16" s="172"/>
      <c r="R16" s="176"/>
      <c r="S16" s="172"/>
      <c r="T16" s="175"/>
      <c r="U16" s="172"/>
      <c r="V16" s="175"/>
      <c r="W16" s="170"/>
      <c r="X16" s="175"/>
      <c r="Y16" s="170"/>
      <c r="Z16" s="171"/>
      <c r="AA16" s="171"/>
      <c r="AB16" s="172"/>
      <c r="AC16" s="175"/>
      <c r="AD16" s="172"/>
      <c r="AE16" s="172"/>
      <c r="AF16" s="178"/>
      <c r="AG16" s="171"/>
      <c r="AH16" s="171"/>
    </row>
    <row r="17" spans="1:34" ht="12.6" customHeight="1" x14ac:dyDescent="0.25">
      <c r="A17" s="134"/>
      <c r="B17" s="134"/>
      <c r="C17" s="192"/>
      <c r="D17" s="186"/>
      <c r="E17" s="194"/>
      <c r="F17" s="134"/>
      <c r="G17" s="171"/>
      <c r="H17" s="172"/>
      <c r="I17" s="170"/>
      <c r="J17" s="175"/>
      <c r="K17" s="171"/>
      <c r="L17" s="171"/>
      <c r="M17" s="172"/>
      <c r="N17" s="172"/>
      <c r="O17" s="170"/>
      <c r="P17" s="172"/>
      <c r="Q17" s="172"/>
      <c r="R17" s="176"/>
      <c r="S17" s="172"/>
      <c r="T17" s="175"/>
      <c r="U17" s="172"/>
      <c r="V17" s="175"/>
      <c r="W17" s="170"/>
      <c r="X17" s="175"/>
      <c r="Y17" s="170"/>
      <c r="Z17" s="171"/>
      <c r="AA17" s="171"/>
      <c r="AB17" s="172"/>
      <c r="AC17" s="175"/>
      <c r="AD17" s="172"/>
      <c r="AE17" s="172"/>
      <c r="AF17" s="178"/>
      <c r="AG17" s="171"/>
      <c r="AH17" s="171"/>
    </row>
    <row r="18" spans="1:34" ht="12.6" customHeight="1" x14ac:dyDescent="0.25">
      <c r="A18" s="134"/>
      <c r="B18" s="134"/>
      <c r="C18" s="192"/>
      <c r="D18" s="186"/>
      <c r="E18" s="194"/>
      <c r="F18" s="134"/>
      <c r="G18" s="171"/>
      <c r="H18" s="172"/>
      <c r="I18" s="170"/>
      <c r="J18" s="175"/>
      <c r="K18" s="171"/>
      <c r="L18" s="171"/>
      <c r="M18" s="172"/>
      <c r="N18" s="172"/>
      <c r="O18" s="170"/>
      <c r="P18" s="172"/>
      <c r="Q18" s="172"/>
      <c r="R18" s="176"/>
      <c r="S18" s="172"/>
      <c r="T18" s="175"/>
      <c r="U18" s="172"/>
      <c r="V18" s="175"/>
      <c r="W18" s="170"/>
      <c r="X18" s="175"/>
      <c r="Y18" s="170"/>
      <c r="Z18" s="171"/>
      <c r="AA18" s="171"/>
      <c r="AB18" s="172"/>
      <c r="AC18" s="175"/>
      <c r="AD18" s="172"/>
      <c r="AE18" s="172"/>
      <c r="AF18" s="178"/>
      <c r="AG18" s="171"/>
      <c r="AH18" s="171"/>
    </row>
    <row r="19" spans="1:34" ht="12.6" customHeight="1" x14ac:dyDescent="0.25">
      <c r="A19" s="134"/>
      <c r="B19" s="134"/>
      <c r="C19" s="192"/>
      <c r="D19" s="186"/>
      <c r="E19" s="194"/>
      <c r="F19" s="134"/>
      <c r="G19" s="171"/>
      <c r="H19" s="172"/>
      <c r="I19" s="170"/>
      <c r="J19" s="175"/>
      <c r="K19" s="171"/>
      <c r="L19" s="171"/>
      <c r="M19" s="172"/>
      <c r="N19" s="172"/>
      <c r="O19" s="170"/>
      <c r="P19" s="172"/>
      <c r="Q19" s="172"/>
      <c r="R19" s="176"/>
      <c r="S19" s="172"/>
      <c r="T19" s="175"/>
      <c r="U19" s="172"/>
      <c r="V19" s="175"/>
      <c r="W19" s="170"/>
      <c r="X19" s="175"/>
      <c r="Y19" s="170"/>
      <c r="Z19" s="171"/>
      <c r="AA19" s="171"/>
      <c r="AB19" s="172"/>
      <c r="AC19" s="175"/>
      <c r="AD19" s="172"/>
      <c r="AE19" s="172"/>
      <c r="AF19" s="178"/>
      <c r="AG19" s="171"/>
      <c r="AH19" s="171"/>
    </row>
    <row r="20" spans="1:34" ht="13.8" customHeight="1" x14ac:dyDescent="0.25">
      <c r="A20" s="134"/>
      <c r="B20" s="134"/>
      <c r="C20" s="192"/>
      <c r="D20" s="186"/>
      <c r="E20" s="194"/>
      <c r="F20" s="134"/>
      <c r="G20" s="171"/>
      <c r="H20" s="172"/>
      <c r="I20" s="170"/>
      <c r="J20" s="175"/>
      <c r="K20" s="171"/>
      <c r="L20" s="171"/>
      <c r="M20" s="172"/>
      <c r="N20" s="172"/>
      <c r="O20" s="170"/>
      <c r="P20" s="172"/>
      <c r="Q20" s="172"/>
      <c r="R20" s="176"/>
      <c r="S20" s="172"/>
      <c r="T20" s="175"/>
      <c r="U20" s="172"/>
      <c r="V20" s="175"/>
      <c r="W20" s="170"/>
      <c r="X20" s="175"/>
      <c r="Y20" s="170"/>
      <c r="Z20" s="171"/>
      <c r="AA20" s="171"/>
      <c r="AB20" s="172"/>
      <c r="AC20" s="175"/>
      <c r="AD20" s="172"/>
      <c r="AE20" s="172"/>
      <c r="AF20" s="178"/>
      <c r="AG20" s="171"/>
      <c r="AH20" s="171"/>
    </row>
    <row r="21" spans="1:34" ht="13.8" customHeight="1" x14ac:dyDescent="0.25">
      <c r="A21" s="134"/>
      <c r="B21" s="134"/>
      <c r="C21" s="192"/>
      <c r="D21" s="186"/>
      <c r="E21" s="194"/>
      <c r="F21" s="134"/>
      <c r="G21" s="171"/>
      <c r="H21" s="172"/>
      <c r="I21" s="170"/>
      <c r="J21" s="175"/>
      <c r="K21" s="171"/>
      <c r="L21" s="171"/>
      <c r="M21" s="172"/>
      <c r="N21" s="172"/>
      <c r="O21" s="170"/>
      <c r="P21" s="172"/>
      <c r="Q21" s="172"/>
      <c r="R21" s="176"/>
      <c r="S21" s="172"/>
      <c r="T21" s="175"/>
      <c r="U21" s="172"/>
      <c r="V21" s="175"/>
      <c r="W21" s="170"/>
      <c r="X21" s="175"/>
      <c r="Y21" s="170"/>
      <c r="Z21" s="171"/>
      <c r="AA21" s="171"/>
      <c r="AB21" s="172"/>
      <c r="AC21" s="175"/>
      <c r="AD21" s="172"/>
      <c r="AE21" s="172"/>
      <c r="AF21" s="134"/>
      <c r="AG21" s="171"/>
      <c r="AH21" s="171"/>
    </row>
    <row r="22" spans="1:34" ht="13.8" customHeight="1" x14ac:dyDescent="0.25">
      <c r="A22" s="134"/>
      <c r="B22" s="134"/>
      <c r="C22" s="192"/>
      <c r="D22" s="186"/>
      <c r="E22" s="194"/>
      <c r="F22" s="134"/>
      <c r="G22" s="171"/>
      <c r="H22" s="172"/>
      <c r="I22" s="170"/>
      <c r="J22" s="175"/>
      <c r="K22" s="171"/>
      <c r="L22" s="171"/>
      <c r="M22" s="172"/>
      <c r="N22" s="172"/>
      <c r="O22" s="170"/>
      <c r="P22" s="172"/>
      <c r="Q22" s="172"/>
      <c r="R22" s="176"/>
      <c r="S22" s="172"/>
      <c r="T22" s="175"/>
      <c r="U22" s="172"/>
      <c r="V22" s="175"/>
      <c r="W22" s="170"/>
      <c r="X22" s="175"/>
      <c r="Y22" s="170"/>
      <c r="Z22" s="171"/>
      <c r="AA22" s="171"/>
      <c r="AB22" s="172"/>
      <c r="AC22" s="175"/>
      <c r="AD22" s="172"/>
      <c r="AE22" s="172"/>
      <c r="AF22" s="134"/>
      <c r="AG22" s="171"/>
      <c r="AH22" s="171"/>
    </row>
    <row r="23" spans="1:34" ht="13.8" customHeight="1" x14ac:dyDescent="0.25">
      <c r="A23" s="134"/>
      <c r="B23" s="134"/>
      <c r="C23" s="192"/>
      <c r="D23" s="186"/>
      <c r="E23" s="194"/>
      <c r="F23" s="134"/>
      <c r="G23" s="171"/>
      <c r="H23" s="172"/>
      <c r="I23" s="170"/>
      <c r="J23" s="175"/>
      <c r="K23" s="171"/>
      <c r="L23" s="171"/>
      <c r="M23" s="172"/>
      <c r="N23" s="172"/>
      <c r="O23" s="170"/>
      <c r="P23" s="172"/>
      <c r="Q23" s="172"/>
      <c r="R23" s="176"/>
      <c r="S23" s="172"/>
      <c r="T23" s="175"/>
      <c r="U23" s="172"/>
      <c r="V23" s="175"/>
      <c r="W23" s="170"/>
      <c r="X23" s="175"/>
      <c r="Y23" s="170"/>
      <c r="Z23" s="171"/>
      <c r="AA23" s="171"/>
      <c r="AB23" s="172"/>
      <c r="AC23" s="175"/>
      <c r="AD23" s="172"/>
      <c r="AE23" s="172"/>
      <c r="AF23" s="134"/>
      <c r="AG23" s="171"/>
      <c r="AH23" s="171"/>
    </row>
    <row r="24" spans="1:34" ht="13.8" customHeight="1" x14ac:dyDescent="0.25">
      <c r="A24" s="134"/>
      <c r="B24" s="134"/>
      <c r="C24" s="192"/>
      <c r="D24" s="186"/>
      <c r="E24" s="194"/>
      <c r="F24" s="134"/>
      <c r="G24" s="171"/>
      <c r="H24" s="172"/>
      <c r="I24" s="170"/>
      <c r="J24" s="175"/>
      <c r="K24" s="171"/>
      <c r="L24" s="171"/>
      <c r="M24" s="172"/>
      <c r="N24" s="172"/>
      <c r="O24" s="170"/>
      <c r="P24" s="172"/>
      <c r="Q24" s="172"/>
      <c r="R24" s="176"/>
      <c r="S24" s="172"/>
      <c r="T24" s="175"/>
      <c r="U24" s="172"/>
      <c r="V24" s="175"/>
      <c r="W24" s="170"/>
      <c r="X24" s="175"/>
      <c r="Y24" s="170"/>
      <c r="Z24" s="171"/>
      <c r="AA24" s="171"/>
      <c r="AB24" s="172"/>
      <c r="AC24" s="175"/>
      <c r="AD24" s="172"/>
      <c r="AE24" s="172"/>
      <c r="AF24" s="134"/>
      <c r="AG24" s="171"/>
      <c r="AH24" s="171"/>
    </row>
    <row r="25" spans="1:34" ht="13.8" customHeight="1" x14ac:dyDescent="0.25">
      <c r="A25" s="134"/>
      <c r="B25" s="134"/>
      <c r="C25" s="192"/>
      <c r="D25" s="186"/>
      <c r="E25" s="194"/>
      <c r="F25" s="134"/>
      <c r="G25" s="171"/>
      <c r="H25" s="172"/>
      <c r="I25" s="170"/>
      <c r="J25" s="175"/>
      <c r="K25" s="171"/>
      <c r="L25" s="171"/>
      <c r="M25" s="172"/>
      <c r="N25" s="172"/>
      <c r="O25" s="170"/>
      <c r="P25" s="172"/>
      <c r="Q25" s="172"/>
      <c r="R25" s="176"/>
      <c r="S25" s="172"/>
      <c r="T25" s="175"/>
      <c r="U25" s="172"/>
      <c r="V25" s="175"/>
      <c r="W25" s="170"/>
      <c r="X25" s="175"/>
      <c r="Y25" s="170"/>
      <c r="Z25" s="171"/>
      <c r="AA25" s="171"/>
      <c r="AB25" s="172"/>
      <c r="AC25" s="175"/>
      <c r="AD25" s="172"/>
      <c r="AE25" s="172"/>
      <c r="AF25" s="134"/>
      <c r="AG25" s="171"/>
      <c r="AH25" s="171"/>
    </row>
    <row r="26" spans="1:34" ht="13.8" customHeight="1" x14ac:dyDescent="0.25">
      <c r="A26" s="134"/>
      <c r="B26" s="134"/>
      <c r="C26" s="192"/>
      <c r="D26" s="186"/>
      <c r="E26" s="194"/>
      <c r="F26" s="134"/>
      <c r="G26" s="171"/>
      <c r="H26" s="172"/>
      <c r="I26" s="170"/>
      <c r="J26" s="175"/>
      <c r="K26" s="171"/>
      <c r="L26" s="171"/>
      <c r="M26" s="172"/>
      <c r="N26" s="172"/>
      <c r="O26" s="170"/>
      <c r="P26" s="172"/>
      <c r="Q26" s="172"/>
      <c r="R26" s="176"/>
      <c r="S26" s="172"/>
      <c r="T26" s="175"/>
      <c r="U26" s="172"/>
      <c r="V26" s="175"/>
      <c r="W26" s="170"/>
      <c r="X26" s="175"/>
      <c r="Y26" s="170"/>
      <c r="Z26" s="171"/>
      <c r="AA26" s="171"/>
      <c r="AB26" s="172"/>
      <c r="AC26" s="175"/>
      <c r="AD26" s="172"/>
      <c r="AE26" s="172"/>
      <c r="AF26" s="134"/>
      <c r="AG26" s="171"/>
      <c r="AH26" s="171"/>
    </row>
    <row r="27" spans="1:34" ht="13.8" customHeight="1" x14ac:dyDescent="0.25">
      <c r="A27" s="134"/>
      <c r="B27" s="134"/>
      <c r="C27" s="192"/>
      <c r="D27" s="186"/>
      <c r="E27" s="194"/>
      <c r="F27" s="134"/>
      <c r="G27" s="171"/>
      <c r="H27" s="172"/>
      <c r="I27" s="170"/>
      <c r="J27" s="175"/>
      <c r="K27" s="171"/>
      <c r="L27" s="171"/>
      <c r="M27" s="172"/>
      <c r="N27" s="172"/>
      <c r="O27" s="170"/>
      <c r="P27" s="172"/>
      <c r="Q27" s="172"/>
      <c r="R27" s="176"/>
      <c r="S27" s="172"/>
      <c r="T27" s="175"/>
      <c r="U27" s="172"/>
      <c r="V27" s="175"/>
      <c r="W27" s="170"/>
      <c r="X27" s="175"/>
      <c r="Y27" s="170"/>
      <c r="Z27" s="171"/>
      <c r="AA27" s="171"/>
      <c r="AB27" s="172"/>
      <c r="AC27" s="175"/>
      <c r="AD27" s="172"/>
      <c r="AE27" s="172"/>
      <c r="AF27" s="134"/>
      <c r="AG27" s="171"/>
      <c r="AH27" s="171"/>
    </row>
    <row r="28" spans="1:34" ht="13.8" customHeight="1" x14ac:dyDescent="0.25">
      <c r="A28" s="134"/>
      <c r="B28" s="134"/>
      <c r="C28" s="192"/>
      <c r="D28" s="186"/>
      <c r="E28" s="194"/>
      <c r="F28" s="134"/>
      <c r="G28" s="171"/>
      <c r="H28" s="172"/>
      <c r="I28" s="170"/>
      <c r="J28" s="175"/>
      <c r="K28" s="171"/>
      <c r="L28" s="171"/>
      <c r="M28" s="172"/>
      <c r="N28" s="172"/>
      <c r="O28" s="170"/>
      <c r="P28" s="172"/>
      <c r="Q28" s="172"/>
      <c r="R28" s="176"/>
      <c r="S28" s="172"/>
      <c r="T28" s="175"/>
      <c r="U28" s="172"/>
      <c r="V28" s="175"/>
      <c r="W28" s="170"/>
      <c r="X28" s="175"/>
      <c r="Y28" s="170"/>
      <c r="Z28" s="171"/>
      <c r="AA28" s="171"/>
      <c r="AB28" s="172"/>
      <c r="AC28" s="175"/>
      <c r="AD28" s="172"/>
      <c r="AE28" s="172"/>
      <c r="AF28" s="134"/>
      <c r="AG28" s="171"/>
      <c r="AH28" s="171"/>
    </row>
    <row r="29" spans="1:34" ht="13.8" customHeight="1" x14ac:dyDescent="0.25">
      <c r="A29" s="134"/>
      <c r="B29" s="134"/>
      <c r="C29" s="134"/>
      <c r="D29" s="190"/>
      <c r="E29" s="134"/>
      <c r="F29" s="134"/>
      <c r="G29" s="171"/>
      <c r="H29" s="172"/>
      <c r="I29" s="170"/>
      <c r="J29" s="175"/>
      <c r="K29" s="171"/>
      <c r="L29" s="171"/>
      <c r="M29" s="172"/>
      <c r="N29" s="172"/>
      <c r="O29" s="170"/>
      <c r="P29" s="172"/>
      <c r="Q29" s="172"/>
      <c r="R29" s="176"/>
      <c r="S29" s="172"/>
      <c r="T29" s="175"/>
      <c r="U29" s="172"/>
      <c r="V29" s="175"/>
      <c r="W29" s="170"/>
      <c r="X29" s="175"/>
      <c r="Y29" s="170"/>
      <c r="Z29" s="171"/>
      <c r="AA29" s="171"/>
      <c r="AB29" s="172"/>
      <c r="AC29" s="175"/>
      <c r="AD29" s="172"/>
      <c r="AE29" s="172"/>
      <c r="AF29" s="134"/>
      <c r="AG29" s="171"/>
      <c r="AH29" s="171"/>
    </row>
    <row r="30" spans="1:34" ht="13.8" customHeight="1" x14ac:dyDescent="0.25">
      <c r="A30" s="134"/>
      <c r="B30" s="134"/>
      <c r="C30" s="134"/>
      <c r="D30" s="186"/>
      <c r="E30" s="134"/>
      <c r="F30" s="134"/>
      <c r="G30" s="171"/>
      <c r="H30" s="172"/>
      <c r="I30" s="170"/>
      <c r="J30" s="175"/>
      <c r="K30" s="171"/>
      <c r="L30" s="171"/>
      <c r="M30" s="172"/>
      <c r="N30" s="172"/>
      <c r="O30" s="170"/>
      <c r="P30" s="172"/>
      <c r="Q30" s="172"/>
      <c r="R30" s="176"/>
      <c r="S30" s="172"/>
      <c r="T30" s="175"/>
      <c r="U30" s="172"/>
      <c r="V30" s="175"/>
      <c r="W30" s="170"/>
      <c r="X30" s="175"/>
      <c r="Y30" s="170"/>
      <c r="Z30" s="171"/>
      <c r="AA30" s="171"/>
      <c r="AB30" s="172"/>
      <c r="AC30" s="175"/>
      <c r="AD30" s="172"/>
      <c r="AE30" s="172"/>
      <c r="AF30" s="134"/>
      <c r="AG30" s="171"/>
      <c r="AH30" s="171"/>
    </row>
    <row r="31" spans="1:34" ht="13.8" customHeight="1" x14ac:dyDescent="0.25">
      <c r="A31" s="134"/>
      <c r="B31" s="134"/>
      <c r="C31" s="134"/>
      <c r="D31" s="186"/>
      <c r="E31" s="134"/>
      <c r="F31" s="134"/>
      <c r="G31" s="171"/>
      <c r="H31" s="172"/>
      <c r="I31" s="170"/>
      <c r="J31" s="175"/>
      <c r="K31" s="171"/>
      <c r="L31" s="171"/>
      <c r="M31" s="172"/>
      <c r="N31" s="172"/>
      <c r="O31" s="170"/>
      <c r="P31" s="172"/>
      <c r="Q31" s="172"/>
      <c r="R31" s="176"/>
      <c r="S31" s="172"/>
      <c r="T31" s="175"/>
      <c r="U31" s="172"/>
      <c r="V31" s="175"/>
      <c r="W31" s="170"/>
      <c r="X31" s="175"/>
      <c r="Y31" s="170"/>
      <c r="Z31" s="171"/>
      <c r="AA31" s="171"/>
      <c r="AB31" s="172"/>
      <c r="AC31" s="175"/>
      <c r="AD31" s="172"/>
      <c r="AE31" s="172"/>
      <c r="AF31" s="134"/>
      <c r="AG31" s="171"/>
      <c r="AH31" s="171"/>
    </row>
    <row r="32" spans="1:34" ht="13.8" customHeight="1" x14ac:dyDescent="0.25">
      <c r="A32" s="134"/>
      <c r="B32" s="134"/>
      <c r="C32" s="134"/>
      <c r="D32" s="186"/>
      <c r="E32" s="134"/>
      <c r="F32" s="134"/>
      <c r="G32" s="171"/>
      <c r="H32" s="172"/>
      <c r="I32" s="170"/>
      <c r="J32" s="175"/>
      <c r="K32" s="171"/>
      <c r="L32" s="171"/>
      <c r="M32" s="172"/>
      <c r="N32" s="172"/>
      <c r="O32" s="170"/>
      <c r="P32" s="172"/>
      <c r="Q32" s="172"/>
      <c r="R32" s="176"/>
      <c r="S32" s="172"/>
      <c r="T32" s="175"/>
      <c r="U32" s="172"/>
      <c r="V32" s="175"/>
      <c r="W32" s="170"/>
      <c r="X32" s="175"/>
      <c r="Y32" s="170"/>
      <c r="Z32" s="171"/>
      <c r="AA32" s="171"/>
      <c r="AB32" s="172"/>
      <c r="AC32" s="175"/>
      <c r="AD32" s="172"/>
      <c r="AE32" s="172"/>
      <c r="AF32" s="134"/>
      <c r="AG32" s="171"/>
      <c r="AH32" s="171"/>
    </row>
    <row r="33" spans="1:34" ht="13.8" customHeight="1" x14ac:dyDescent="0.25">
      <c r="A33" s="134"/>
      <c r="B33" s="134"/>
      <c r="C33" s="134"/>
      <c r="D33" s="186"/>
      <c r="E33" s="134"/>
      <c r="F33" s="134"/>
      <c r="G33" s="171"/>
      <c r="H33" s="172"/>
      <c r="I33" s="170"/>
      <c r="J33" s="175"/>
      <c r="K33" s="171"/>
      <c r="L33" s="171"/>
      <c r="M33" s="172"/>
      <c r="N33" s="172"/>
      <c r="O33" s="170"/>
      <c r="P33" s="172"/>
      <c r="Q33" s="172"/>
      <c r="R33" s="176"/>
      <c r="S33" s="172"/>
      <c r="T33" s="175"/>
      <c r="U33" s="172"/>
      <c r="V33" s="175"/>
      <c r="W33" s="170"/>
      <c r="X33" s="175"/>
      <c r="Y33" s="170"/>
      <c r="Z33" s="171"/>
      <c r="AA33" s="171"/>
      <c r="AB33" s="172"/>
      <c r="AC33" s="175"/>
      <c r="AD33" s="172"/>
      <c r="AE33" s="172"/>
      <c r="AF33" s="134"/>
      <c r="AG33" s="171"/>
      <c r="AH33" s="171"/>
    </row>
    <row r="34" spans="1:34" ht="13.8" customHeight="1" x14ac:dyDescent="0.25">
      <c r="A34" s="134"/>
      <c r="B34" s="134"/>
      <c r="C34" s="134"/>
      <c r="D34" s="186"/>
      <c r="E34" s="134"/>
      <c r="F34" s="134"/>
      <c r="G34" s="171"/>
      <c r="H34" s="172"/>
      <c r="I34" s="170"/>
      <c r="J34" s="175"/>
      <c r="K34" s="171"/>
      <c r="L34" s="171"/>
      <c r="M34" s="172"/>
      <c r="N34" s="172"/>
      <c r="O34" s="170"/>
      <c r="P34" s="172"/>
      <c r="Q34" s="172"/>
      <c r="R34" s="176"/>
      <c r="S34" s="172"/>
      <c r="T34" s="175"/>
      <c r="U34" s="172"/>
      <c r="V34" s="175"/>
      <c r="W34" s="170"/>
      <c r="X34" s="175"/>
      <c r="Y34" s="170"/>
      <c r="Z34" s="171"/>
      <c r="AA34" s="171"/>
      <c r="AB34" s="172"/>
      <c r="AC34" s="175"/>
      <c r="AD34" s="172"/>
      <c r="AE34" s="172"/>
      <c r="AF34" s="134"/>
      <c r="AG34" s="171"/>
      <c r="AH34" s="171"/>
    </row>
    <row r="35" spans="1:34" ht="13.35" customHeight="1" x14ac:dyDescent="0.25">
      <c r="A35" s="134"/>
      <c r="B35" s="134"/>
      <c r="C35" s="134"/>
      <c r="D35" s="186"/>
      <c r="E35" s="134"/>
      <c r="F35" s="134"/>
      <c r="G35" s="171"/>
      <c r="H35" s="172"/>
      <c r="I35" s="170"/>
      <c r="J35" s="175"/>
      <c r="K35" s="171"/>
      <c r="L35" s="171"/>
      <c r="M35" s="172"/>
      <c r="N35" s="172"/>
      <c r="O35" s="170"/>
      <c r="P35" s="172"/>
      <c r="Q35" s="172"/>
      <c r="R35" s="176"/>
      <c r="S35" s="172"/>
      <c r="T35" s="175"/>
      <c r="U35" s="172"/>
      <c r="V35" s="175"/>
      <c r="W35" s="170"/>
      <c r="X35" s="175"/>
      <c r="Y35" s="170"/>
      <c r="Z35" s="171"/>
      <c r="AA35" s="171"/>
      <c r="AB35" s="172"/>
      <c r="AC35" s="175"/>
      <c r="AD35" s="172"/>
      <c r="AE35" s="172"/>
      <c r="AF35" s="134"/>
      <c r="AG35" s="171"/>
      <c r="AH35" s="171"/>
    </row>
    <row r="36" spans="1:34" ht="13.35" customHeight="1" x14ac:dyDescent="0.25">
      <c r="A36" s="134"/>
      <c r="B36" s="134"/>
      <c r="C36" s="134"/>
      <c r="D36" s="186"/>
      <c r="E36" s="134"/>
      <c r="F36" s="134"/>
      <c r="G36" s="171"/>
      <c r="H36" s="172"/>
      <c r="I36" s="170"/>
      <c r="J36" s="175"/>
      <c r="K36" s="171"/>
      <c r="L36" s="171"/>
      <c r="M36" s="172"/>
      <c r="N36" s="172"/>
      <c r="O36" s="170"/>
      <c r="P36" s="172"/>
      <c r="Q36" s="172"/>
      <c r="R36" s="176"/>
      <c r="S36" s="172"/>
      <c r="T36" s="175"/>
      <c r="U36" s="172"/>
      <c r="V36" s="175"/>
      <c r="W36" s="170"/>
      <c r="X36" s="175"/>
      <c r="Y36" s="170"/>
      <c r="Z36" s="171"/>
      <c r="AA36" s="171"/>
      <c r="AB36" s="172"/>
      <c r="AC36" s="175"/>
      <c r="AD36" s="172"/>
      <c r="AE36" s="172"/>
      <c r="AF36" s="134"/>
      <c r="AG36" s="171"/>
      <c r="AH36" s="171"/>
    </row>
    <row r="37" spans="1:34" ht="13.35" customHeight="1" x14ac:dyDescent="0.25">
      <c r="A37" s="134"/>
      <c r="B37" s="134"/>
      <c r="C37" s="134"/>
      <c r="D37" s="186"/>
      <c r="E37" s="134"/>
      <c r="F37" s="134"/>
      <c r="G37" s="171"/>
      <c r="H37" s="172"/>
      <c r="I37" s="170"/>
      <c r="J37" s="175"/>
      <c r="K37" s="171"/>
      <c r="L37" s="171"/>
      <c r="M37" s="172"/>
      <c r="N37" s="172"/>
      <c r="O37" s="170"/>
      <c r="P37" s="172"/>
      <c r="Q37" s="172"/>
      <c r="R37" s="176"/>
      <c r="S37" s="172"/>
      <c r="T37" s="175"/>
      <c r="U37" s="172"/>
      <c r="V37" s="175"/>
      <c r="W37" s="170"/>
      <c r="X37" s="175"/>
      <c r="Y37" s="170"/>
      <c r="Z37" s="171"/>
      <c r="AA37" s="171"/>
      <c r="AB37" s="172"/>
      <c r="AC37" s="175"/>
      <c r="AD37" s="172"/>
      <c r="AE37" s="172"/>
      <c r="AF37" s="134"/>
      <c r="AG37" s="171"/>
      <c r="AH37" s="171"/>
    </row>
    <row r="38" spans="1:34" ht="13.35" customHeight="1" x14ac:dyDescent="0.25">
      <c r="A38" s="134"/>
      <c r="B38" s="134"/>
      <c r="C38" s="134"/>
      <c r="D38" s="186"/>
      <c r="E38" s="134"/>
      <c r="F38" s="134"/>
      <c r="G38" s="171"/>
      <c r="H38" s="172"/>
      <c r="I38" s="170"/>
      <c r="J38" s="175"/>
      <c r="K38" s="171"/>
      <c r="L38" s="171"/>
      <c r="M38" s="172"/>
      <c r="N38" s="172"/>
      <c r="O38" s="170"/>
      <c r="P38" s="172"/>
      <c r="Q38" s="172"/>
      <c r="R38" s="176"/>
      <c r="S38" s="172"/>
      <c r="T38" s="175"/>
      <c r="U38" s="172"/>
      <c r="V38" s="175"/>
      <c r="W38" s="170"/>
      <c r="X38" s="175"/>
      <c r="Y38" s="170"/>
      <c r="Z38" s="171"/>
      <c r="AA38" s="171"/>
      <c r="AB38" s="172"/>
      <c r="AC38" s="175"/>
      <c r="AD38" s="172"/>
      <c r="AE38" s="172"/>
      <c r="AF38" s="134"/>
      <c r="AG38" s="171"/>
      <c r="AH38" s="171"/>
    </row>
    <row r="39" spans="1:34" ht="13.8" customHeight="1" x14ac:dyDescent="0.25">
      <c r="A39" s="134"/>
      <c r="B39" s="134"/>
      <c r="C39" s="134"/>
      <c r="D39" s="186"/>
      <c r="E39" s="134"/>
      <c r="F39" s="134"/>
      <c r="G39" s="171"/>
      <c r="H39" s="172"/>
      <c r="I39" s="170"/>
      <c r="J39" s="175"/>
      <c r="K39" s="171"/>
      <c r="L39" s="171"/>
      <c r="M39" s="172"/>
      <c r="N39" s="172"/>
      <c r="O39" s="170"/>
      <c r="P39" s="172"/>
      <c r="Q39" s="172"/>
      <c r="R39" s="176"/>
      <c r="S39" s="172"/>
      <c r="T39" s="175"/>
      <c r="U39" s="172"/>
      <c r="V39" s="175"/>
      <c r="W39" s="170"/>
      <c r="X39" s="175"/>
      <c r="Y39" s="170"/>
      <c r="Z39" s="171"/>
      <c r="AA39" s="171"/>
      <c r="AB39" s="172"/>
      <c r="AC39" s="175"/>
      <c r="AD39" s="172"/>
      <c r="AE39" s="172"/>
      <c r="AF39" s="188"/>
      <c r="AG39" s="171"/>
      <c r="AH39" s="171"/>
    </row>
    <row r="40" spans="1:34" ht="13.8" customHeight="1" x14ac:dyDescent="0.25">
      <c r="A40" s="134"/>
      <c r="B40" s="134"/>
      <c r="C40" s="134"/>
      <c r="D40" s="186"/>
      <c r="E40" s="134"/>
      <c r="F40" s="134"/>
      <c r="G40" s="171"/>
      <c r="H40" s="172"/>
      <c r="I40" s="170"/>
      <c r="J40" s="175"/>
      <c r="K40" s="171"/>
      <c r="L40" s="171"/>
      <c r="M40" s="172"/>
      <c r="N40" s="172"/>
      <c r="O40" s="170"/>
      <c r="P40" s="172"/>
      <c r="Q40" s="172"/>
      <c r="R40" s="176"/>
      <c r="S40" s="172"/>
      <c r="T40" s="175"/>
      <c r="U40" s="172"/>
      <c r="V40" s="175"/>
      <c r="W40" s="170"/>
      <c r="X40" s="175"/>
      <c r="Y40" s="170"/>
      <c r="Z40" s="171"/>
      <c r="AA40" s="171"/>
      <c r="AB40" s="172"/>
      <c r="AC40" s="175"/>
      <c r="AD40" s="172"/>
      <c r="AE40" s="172"/>
      <c r="AF40" s="188"/>
      <c r="AG40" s="171"/>
      <c r="AH40" s="171"/>
    </row>
    <row r="41" spans="1:34" ht="13.8" customHeight="1" x14ac:dyDescent="0.25">
      <c r="A41" s="134"/>
      <c r="B41" s="134"/>
      <c r="C41" s="134"/>
      <c r="D41" s="186"/>
      <c r="E41" s="134"/>
      <c r="F41" s="134"/>
      <c r="G41" s="171"/>
      <c r="H41" s="172"/>
      <c r="I41" s="170"/>
      <c r="J41" s="175"/>
      <c r="K41" s="171"/>
      <c r="L41" s="171"/>
      <c r="M41" s="172"/>
      <c r="N41" s="172"/>
      <c r="O41" s="170"/>
      <c r="P41" s="172"/>
      <c r="Q41" s="172"/>
      <c r="R41" s="176"/>
      <c r="S41" s="172"/>
      <c r="T41" s="175"/>
      <c r="U41" s="172"/>
      <c r="V41" s="175"/>
      <c r="W41" s="170"/>
      <c r="X41" s="175"/>
      <c r="Y41" s="170"/>
      <c r="Z41" s="171"/>
      <c r="AA41" s="171"/>
      <c r="AB41" s="172"/>
      <c r="AC41" s="175"/>
      <c r="AD41" s="172"/>
      <c r="AE41" s="172"/>
      <c r="AF41" s="134"/>
      <c r="AG41" s="171"/>
      <c r="AH41" s="171"/>
    </row>
    <row r="42" spans="1:34" ht="13.8" customHeight="1" x14ac:dyDescent="0.25">
      <c r="A42" s="134"/>
      <c r="B42" s="134"/>
      <c r="C42" s="134"/>
      <c r="D42" s="186"/>
      <c r="E42" s="134"/>
      <c r="F42" s="134"/>
      <c r="G42" s="171"/>
      <c r="H42" s="172"/>
      <c r="I42" s="170"/>
      <c r="J42" s="175"/>
      <c r="K42" s="171"/>
      <c r="L42" s="171"/>
      <c r="M42" s="172"/>
      <c r="N42" s="172"/>
      <c r="O42" s="170"/>
      <c r="P42" s="172"/>
      <c r="Q42" s="172"/>
      <c r="R42" s="176"/>
      <c r="S42" s="172"/>
      <c r="T42" s="175"/>
      <c r="U42" s="172"/>
      <c r="V42" s="175"/>
      <c r="W42" s="170"/>
      <c r="X42" s="175"/>
      <c r="Y42" s="170"/>
      <c r="Z42" s="171"/>
      <c r="AA42" s="171"/>
      <c r="AB42" s="172"/>
      <c r="AC42" s="175"/>
      <c r="AD42" s="172"/>
      <c r="AE42" s="172"/>
      <c r="AF42" s="188"/>
      <c r="AG42" s="171"/>
      <c r="AH42" s="171"/>
    </row>
    <row r="43" spans="1:34" ht="13.8" customHeight="1" x14ac:dyDescent="0.25">
      <c r="A43" s="134"/>
      <c r="B43" s="134"/>
      <c r="C43" s="134"/>
      <c r="D43" s="186"/>
      <c r="E43" s="134"/>
      <c r="F43" s="134"/>
      <c r="G43" s="171"/>
      <c r="H43" s="172"/>
      <c r="I43" s="170"/>
      <c r="J43" s="175"/>
      <c r="K43" s="171"/>
      <c r="L43" s="171"/>
      <c r="M43" s="172"/>
      <c r="N43" s="172"/>
      <c r="O43" s="170"/>
      <c r="P43" s="172"/>
      <c r="Q43" s="172"/>
      <c r="R43" s="176"/>
      <c r="S43" s="172"/>
      <c r="T43" s="175"/>
      <c r="U43" s="172"/>
      <c r="V43" s="175"/>
      <c r="W43" s="170"/>
      <c r="X43" s="175"/>
      <c r="Y43" s="170"/>
      <c r="Z43" s="171"/>
      <c r="AA43" s="171"/>
      <c r="AB43" s="172"/>
      <c r="AC43" s="175"/>
      <c r="AD43" s="172"/>
      <c r="AE43" s="172"/>
      <c r="AF43" s="188"/>
      <c r="AG43" s="171"/>
      <c r="AH43" s="171"/>
    </row>
    <row r="44" spans="1:34" ht="13.8" customHeight="1" x14ac:dyDescent="0.25">
      <c r="A44" s="134"/>
      <c r="B44" s="134"/>
      <c r="C44" s="134"/>
      <c r="D44" s="186"/>
      <c r="E44" s="134"/>
      <c r="F44" s="134"/>
      <c r="G44" s="171"/>
      <c r="H44" s="172"/>
      <c r="I44" s="170"/>
      <c r="J44" s="175"/>
      <c r="K44" s="171"/>
      <c r="L44" s="171"/>
      <c r="M44" s="172"/>
      <c r="N44" s="172"/>
      <c r="O44" s="170"/>
      <c r="P44" s="172"/>
      <c r="Q44" s="172"/>
      <c r="R44" s="176"/>
      <c r="S44" s="172"/>
      <c r="T44" s="175"/>
      <c r="U44" s="172"/>
      <c r="V44" s="175"/>
      <c r="W44" s="170"/>
      <c r="X44" s="175"/>
      <c r="Y44" s="170"/>
      <c r="Z44" s="171"/>
      <c r="AA44" s="171"/>
      <c r="AB44" s="172"/>
      <c r="AC44" s="175"/>
      <c r="AD44" s="172"/>
      <c r="AE44" s="172"/>
      <c r="AF44" s="134"/>
      <c r="AG44" s="171"/>
      <c r="AH44" s="171"/>
    </row>
    <row r="45" spans="1:34" ht="13.8" customHeight="1" x14ac:dyDescent="0.25">
      <c r="A45" s="134"/>
      <c r="B45" s="134"/>
      <c r="C45" s="134"/>
      <c r="D45" s="186"/>
      <c r="E45" s="134"/>
      <c r="F45" s="134"/>
      <c r="G45" s="171"/>
      <c r="H45" s="172"/>
      <c r="I45" s="170"/>
      <c r="J45" s="175"/>
      <c r="K45" s="171"/>
      <c r="L45" s="171"/>
      <c r="M45" s="172"/>
      <c r="N45" s="172"/>
      <c r="O45" s="170"/>
      <c r="P45" s="172"/>
      <c r="Q45" s="172"/>
      <c r="R45" s="176"/>
      <c r="S45" s="172"/>
      <c r="T45" s="175"/>
      <c r="U45" s="172"/>
      <c r="V45" s="175"/>
      <c r="W45" s="170"/>
      <c r="X45" s="175"/>
      <c r="Y45" s="170"/>
      <c r="Z45" s="171"/>
      <c r="AA45" s="171"/>
      <c r="AB45" s="172"/>
      <c r="AC45" s="175"/>
      <c r="AD45" s="172"/>
      <c r="AE45" s="172"/>
      <c r="AF45" s="188"/>
      <c r="AG45" s="171"/>
      <c r="AH45" s="171"/>
    </row>
    <row r="46" spans="1:34" ht="14.55" customHeight="1" x14ac:dyDescent="0.25">
      <c r="A46" s="134"/>
      <c r="D46" s="186"/>
      <c r="E46" s="134"/>
      <c r="F46" s="134"/>
      <c r="G46" s="171"/>
      <c r="H46" s="172"/>
      <c r="I46" s="170"/>
      <c r="J46" s="175"/>
      <c r="K46" s="171"/>
      <c r="L46" s="171"/>
      <c r="M46" s="172"/>
      <c r="N46" s="172"/>
      <c r="O46" s="170"/>
      <c r="P46" s="172"/>
      <c r="Q46" s="172"/>
      <c r="R46" s="176"/>
      <c r="S46" s="172"/>
      <c r="T46" s="175"/>
      <c r="U46" s="172"/>
      <c r="V46" s="175"/>
      <c r="W46" s="170"/>
      <c r="X46" s="175"/>
      <c r="Y46" s="170"/>
      <c r="Z46" s="171"/>
      <c r="AA46" s="171"/>
      <c r="AB46" s="172"/>
      <c r="AC46" s="175"/>
      <c r="AD46" s="172"/>
      <c r="AE46" s="172"/>
      <c r="AF46" s="188"/>
      <c r="AG46" s="171"/>
      <c r="AH46" s="171"/>
    </row>
    <row r="47" spans="1:34" ht="14.55" customHeight="1" x14ac:dyDescent="0.25">
      <c r="A47" s="134"/>
      <c r="B47" s="134"/>
      <c r="C47" s="134"/>
      <c r="D47" s="186"/>
      <c r="E47" s="134"/>
      <c r="F47" s="134"/>
      <c r="G47" s="171"/>
      <c r="H47" s="172"/>
      <c r="I47" s="170"/>
      <c r="J47" s="175"/>
      <c r="K47" s="171"/>
      <c r="L47" s="171"/>
      <c r="M47" s="172"/>
      <c r="N47" s="172"/>
      <c r="O47" s="170"/>
      <c r="P47" s="172"/>
      <c r="Q47" s="172"/>
      <c r="R47" s="176"/>
      <c r="S47" s="172"/>
      <c r="T47" s="175"/>
      <c r="U47" s="172"/>
      <c r="V47" s="175"/>
      <c r="W47" s="170"/>
      <c r="X47" s="175"/>
      <c r="Y47" s="170"/>
      <c r="Z47" s="171"/>
      <c r="AA47" s="171"/>
      <c r="AB47" s="172"/>
      <c r="AC47" s="175"/>
      <c r="AD47" s="172"/>
      <c r="AE47" s="172"/>
      <c r="AF47" s="188"/>
      <c r="AG47" s="171"/>
      <c r="AH47" s="171"/>
    </row>
    <row r="48" spans="1:34" ht="13.8" customHeight="1" x14ac:dyDescent="0.25">
      <c r="A48" s="134"/>
      <c r="B48" s="134"/>
      <c r="C48" s="134"/>
      <c r="D48" s="186"/>
      <c r="E48" s="134"/>
      <c r="F48" s="134"/>
      <c r="G48" s="171"/>
      <c r="H48" s="172"/>
      <c r="I48" s="170"/>
      <c r="J48" s="175"/>
      <c r="K48" s="171"/>
      <c r="L48" s="171"/>
      <c r="M48" s="172"/>
      <c r="N48" s="172"/>
      <c r="O48" s="170"/>
      <c r="P48" s="172"/>
      <c r="Q48" s="172"/>
      <c r="R48" s="176"/>
      <c r="S48" s="172"/>
      <c r="T48" s="175"/>
      <c r="U48" s="172"/>
      <c r="V48" s="175"/>
      <c r="W48" s="170"/>
      <c r="X48" s="175"/>
      <c r="Y48" s="170"/>
      <c r="Z48" s="171"/>
      <c r="AA48" s="171"/>
      <c r="AB48" s="172"/>
      <c r="AC48" s="175"/>
      <c r="AD48" s="172"/>
      <c r="AE48" s="172"/>
      <c r="AF48" s="188"/>
      <c r="AG48" s="171"/>
      <c r="AH48" s="171"/>
    </row>
    <row r="49" spans="1:34" ht="13.8" customHeight="1" x14ac:dyDescent="0.25">
      <c r="A49" s="134"/>
      <c r="B49" s="134"/>
      <c r="C49" s="134"/>
      <c r="D49" s="186"/>
      <c r="E49" s="134"/>
      <c r="F49" s="134"/>
      <c r="G49" s="171"/>
      <c r="H49" s="172"/>
      <c r="I49" s="170"/>
      <c r="J49" s="175"/>
      <c r="K49" s="171"/>
      <c r="L49" s="171"/>
      <c r="M49" s="172"/>
      <c r="N49" s="172"/>
      <c r="O49" s="170"/>
      <c r="P49" s="172"/>
      <c r="Q49" s="172"/>
      <c r="R49" s="176"/>
      <c r="S49" s="172"/>
      <c r="T49" s="175"/>
      <c r="U49" s="172"/>
      <c r="V49" s="175"/>
      <c r="W49" s="170"/>
      <c r="X49" s="175"/>
      <c r="Y49" s="170"/>
      <c r="Z49" s="171"/>
      <c r="AA49" s="171"/>
      <c r="AB49" s="172"/>
      <c r="AC49" s="175"/>
      <c r="AD49" s="172"/>
      <c r="AE49" s="172"/>
      <c r="AF49" s="134"/>
      <c r="AG49" s="171"/>
      <c r="AH49" s="171"/>
    </row>
    <row r="50" spans="1:34" ht="13.8" customHeight="1" x14ac:dyDescent="0.25">
      <c r="A50" s="134"/>
      <c r="B50" s="134"/>
      <c r="C50" s="134"/>
      <c r="D50" s="186"/>
      <c r="E50" s="134"/>
      <c r="F50" s="134"/>
      <c r="G50" s="171"/>
      <c r="H50" s="172"/>
      <c r="I50" s="170"/>
      <c r="J50" s="175"/>
      <c r="K50" s="171"/>
      <c r="L50" s="171"/>
      <c r="M50" s="172"/>
      <c r="N50" s="172"/>
      <c r="O50" s="170"/>
      <c r="P50" s="172"/>
      <c r="Q50" s="172"/>
      <c r="R50" s="176"/>
      <c r="S50" s="172"/>
      <c r="T50" s="175"/>
      <c r="U50" s="172"/>
      <c r="V50" s="175"/>
      <c r="W50" s="170"/>
      <c r="X50" s="175"/>
      <c r="Y50" s="170"/>
      <c r="Z50" s="171"/>
      <c r="AA50" s="171"/>
      <c r="AB50" s="172"/>
      <c r="AC50" s="175"/>
      <c r="AD50" s="172"/>
      <c r="AE50" s="172"/>
      <c r="AF50" s="188"/>
      <c r="AG50" s="171"/>
      <c r="AH50" s="171"/>
    </row>
    <row r="51" spans="1:34" ht="13.8" customHeight="1" x14ac:dyDescent="0.25">
      <c r="A51" s="134"/>
      <c r="B51" s="134"/>
      <c r="C51" s="134"/>
      <c r="D51" s="190"/>
      <c r="E51" s="134"/>
      <c r="F51" s="134"/>
      <c r="G51" s="171"/>
      <c r="H51" s="172"/>
      <c r="I51" s="170"/>
      <c r="J51" s="175"/>
      <c r="K51" s="171"/>
      <c r="L51" s="171"/>
      <c r="M51" s="172"/>
      <c r="N51" s="172"/>
      <c r="O51" s="170"/>
      <c r="P51" s="172"/>
      <c r="Q51" s="172"/>
      <c r="R51" s="176"/>
      <c r="S51" s="172"/>
      <c r="T51" s="175"/>
      <c r="U51" s="172"/>
      <c r="V51" s="175"/>
      <c r="W51" s="170"/>
      <c r="X51" s="175"/>
      <c r="Y51" s="170"/>
      <c r="Z51" s="171"/>
      <c r="AA51" s="171"/>
      <c r="AB51" s="172"/>
      <c r="AC51" s="175"/>
      <c r="AD51" s="172"/>
      <c r="AE51" s="172"/>
      <c r="AF51" s="188"/>
      <c r="AG51" s="171"/>
      <c r="AH51" s="171"/>
    </row>
    <row r="52" spans="1:34" ht="13.8" customHeight="1" x14ac:dyDescent="0.25">
      <c r="A52" s="134"/>
      <c r="B52" s="134"/>
      <c r="C52" s="134"/>
      <c r="D52" s="186"/>
      <c r="E52" s="134"/>
      <c r="F52" s="134"/>
      <c r="G52" s="171"/>
      <c r="H52" s="172"/>
      <c r="I52" s="170"/>
      <c r="J52" s="175"/>
      <c r="K52" s="171"/>
      <c r="L52" s="171"/>
      <c r="M52" s="172"/>
      <c r="N52" s="172"/>
      <c r="O52" s="170"/>
      <c r="P52" s="172"/>
      <c r="Q52" s="172"/>
      <c r="R52" s="176"/>
      <c r="S52" s="172"/>
      <c r="T52" s="175"/>
      <c r="U52" s="172"/>
      <c r="V52" s="175"/>
      <c r="W52" s="170"/>
      <c r="X52" s="175"/>
      <c r="Y52" s="170"/>
      <c r="Z52" s="171"/>
      <c r="AA52" s="171"/>
      <c r="AB52" s="172"/>
      <c r="AC52" s="175"/>
      <c r="AD52" s="172"/>
      <c r="AE52" s="172"/>
      <c r="AF52" s="178"/>
      <c r="AG52" s="171"/>
      <c r="AH52" s="171"/>
    </row>
    <row r="53" spans="1:34" ht="13.8" customHeight="1" x14ac:dyDescent="0.25">
      <c r="A53" s="134"/>
      <c r="B53" s="134"/>
      <c r="C53" s="134"/>
      <c r="D53" s="186"/>
      <c r="E53" s="134"/>
      <c r="F53" s="134"/>
      <c r="G53" s="171"/>
      <c r="H53" s="172"/>
      <c r="I53" s="170"/>
      <c r="J53" s="175"/>
      <c r="K53" s="171"/>
      <c r="L53" s="171"/>
      <c r="M53" s="172"/>
      <c r="N53" s="172"/>
      <c r="O53" s="170"/>
      <c r="P53" s="172"/>
      <c r="Q53" s="172"/>
      <c r="R53" s="176"/>
      <c r="S53" s="172"/>
      <c r="T53" s="175"/>
      <c r="U53" s="172"/>
      <c r="V53" s="175"/>
      <c r="W53" s="170"/>
      <c r="X53" s="175"/>
      <c r="Y53" s="170"/>
      <c r="Z53" s="171"/>
      <c r="AA53" s="171"/>
      <c r="AB53" s="172"/>
      <c r="AC53" s="175"/>
      <c r="AD53" s="172"/>
      <c r="AE53" s="172"/>
      <c r="AF53" s="178"/>
      <c r="AG53" s="171"/>
      <c r="AH53" s="171"/>
    </row>
    <row r="54" spans="1:34" ht="13.8" customHeight="1" x14ac:dyDescent="0.25">
      <c r="A54" s="134"/>
      <c r="B54" s="134"/>
      <c r="C54" s="134"/>
      <c r="D54" s="186"/>
      <c r="E54" s="134"/>
      <c r="F54" s="134"/>
      <c r="G54" s="171"/>
      <c r="H54" s="172"/>
      <c r="I54" s="170"/>
      <c r="J54" s="175"/>
      <c r="K54" s="173"/>
      <c r="L54" s="171"/>
      <c r="M54" s="172"/>
      <c r="N54" s="172"/>
      <c r="O54" s="170"/>
      <c r="P54" s="172"/>
      <c r="Q54" s="172"/>
      <c r="R54" s="176"/>
      <c r="S54" s="172"/>
      <c r="T54" s="175"/>
      <c r="U54" s="172"/>
      <c r="V54" s="175"/>
      <c r="W54" s="170"/>
      <c r="X54" s="175"/>
      <c r="Y54" s="170"/>
      <c r="Z54" s="171"/>
      <c r="AA54" s="171"/>
      <c r="AB54" s="172"/>
      <c r="AC54" s="175"/>
      <c r="AD54" s="172"/>
      <c r="AE54" s="172"/>
      <c r="AF54" s="178"/>
      <c r="AG54" s="171"/>
      <c r="AH54" s="171"/>
    </row>
    <row r="55" spans="1:34" x14ac:dyDescent="0.25">
      <c r="A55" s="134"/>
      <c r="B55" s="134"/>
      <c r="C55" s="134"/>
      <c r="D55" s="186"/>
      <c r="E55" s="134"/>
      <c r="F55" s="134"/>
      <c r="G55" s="171"/>
      <c r="H55" s="172"/>
      <c r="I55" s="170"/>
      <c r="J55" s="175"/>
      <c r="K55" s="171"/>
      <c r="L55" s="171"/>
      <c r="M55" s="172"/>
      <c r="N55" s="172"/>
      <c r="O55" s="170"/>
      <c r="P55" s="172"/>
      <c r="Q55" s="172"/>
      <c r="R55" s="176"/>
      <c r="S55" s="172"/>
      <c r="T55" s="175"/>
      <c r="U55" s="172"/>
      <c r="V55" s="175"/>
      <c r="W55" s="170"/>
      <c r="X55" s="175"/>
      <c r="Y55" s="170"/>
      <c r="Z55" s="171"/>
      <c r="AA55" s="171"/>
      <c r="AB55" s="172"/>
      <c r="AC55" s="175"/>
      <c r="AD55" s="172"/>
      <c r="AE55" s="172"/>
      <c r="AF55" s="178"/>
      <c r="AG55" s="171"/>
      <c r="AH55" s="171"/>
    </row>
    <row r="56" spans="1:34" x14ac:dyDescent="0.25">
      <c r="A56" s="134"/>
      <c r="B56" s="134"/>
      <c r="C56" s="134"/>
      <c r="D56" s="186"/>
      <c r="E56" s="134"/>
      <c r="F56" s="134"/>
      <c r="G56" s="171"/>
      <c r="H56" s="172"/>
      <c r="I56" s="170"/>
      <c r="J56" s="175"/>
      <c r="K56" s="171"/>
      <c r="L56" s="171"/>
      <c r="M56" s="172"/>
      <c r="N56" s="172"/>
      <c r="O56" s="170"/>
      <c r="P56" s="172"/>
      <c r="Q56" s="172"/>
      <c r="R56" s="176"/>
      <c r="S56" s="172"/>
      <c r="T56" s="175"/>
      <c r="U56" s="172"/>
      <c r="V56" s="175"/>
      <c r="W56" s="170"/>
      <c r="X56" s="175"/>
      <c r="Y56" s="170"/>
      <c r="Z56" s="171"/>
      <c r="AA56" s="171"/>
      <c r="AB56" s="172"/>
      <c r="AC56" s="175"/>
      <c r="AD56" s="172"/>
      <c r="AE56" s="172"/>
      <c r="AF56" s="178"/>
      <c r="AG56" s="171"/>
      <c r="AH56" s="171"/>
    </row>
    <row r="57" spans="1:34" ht="13.8" customHeight="1" x14ac:dyDescent="0.25">
      <c r="A57" s="134"/>
      <c r="B57" s="134"/>
      <c r="C57" s="134"/>
      <c r="D57" s="186"/>
      <c r="E57" s="134"/>
      <c r="F57" s="134"/>
      <c r="G57" s="171"/>
      <c r="H57" s="172"/>
      <c r="I57" s="170"/>
      <c r="J57" s="175"/>
      <c r="K57" s="171"/>
      <c r="L57" s="171"/>
      <c r="M57" s="172"/>
      <c r="N57" s="172"/>
      <c r="O57" s="170"/>
      <c r="P57" s="172"/>
      <c r="Q57" s="172"/>
      <c r="R57" s="176"/>
      <c r="S57" s="172"/>
      <c r="T57" s="175"/>
      <c r="U57" s="172"/>
      <c r="V57" s="175"/>
      <c r="W57" s="170"/>
      <c r="X57" s="175"/>
      <c r="Y57" s="170"/>
      <c r="Z57" s="171"/>
      <c r="AA57" s="171"/>
      <c r="AB57" s="172"/>
      <c r="AC57" s="175"/>
      <c r="AD57" s="172"/>
      <c r="AE57" s="172"/>
      <c r="AF57" s="178"/>
      <c r="AG57" s="171"/>
      <c r="AH57" s="171"/>
    </row>
    <row r="58" spans="1:34" ht="13.8" customHeight="1" x14ac:dyDescent="0.25">
      <c r="A58" s="134"/>
      <c r="B58" s="134"/>
      <c r="C58" s="134"/>
      <c r="D58" s="186"/>
      <c r="E58" s="134"/>
      <c r="F58" s="134"/>
      <c r="G58" s="171"/>
      <c r="H58" s="172"/>
      <c r="I58" s="170"/>
      <c r="J58" s="175"/>
      <c r="K58" s="171"/>
      <c r="L58" s="171"/>
      <c r="M58" s="172"/>
      <c r="N58" s="172"/>
      <c r="O58" s="170"/>
      <c r="P58" s="172"/>
      <c r="Q58" s="172"/>
      <c r="R58" s="176"/>
      <c r="S58" s="172"/>
      <c r="T58" s="175"/>
      <c r="U58" s="172"/>
      <c r="V58" s="175"/>
      <c r="W58" s="170"/>
      <c r="X58" s="175"/>
      <c r="Y58" s="170"/>
      <c r="Z58" s="171"/>
      <c r="AA58" s="171"/>
      <c r="AB58" s="172"/>
      <c r="AC58" s="175"/>
      <c r="AD58" s="172"/>
      <c r="AE58" s="172"/>
      <c r="AF58" s="178"/>
      <c r="AG58" s="171"/>
      <c r="AH58" s="171"/>
    </row>
    <row r="59" spans="1:34" ht="13.8" customHeight="1" x14ac:dyDescent="0.25">
      <c r="A59" s="134"/>
      <c r="B59" s="134"/>
      <c r="C59" s="134"/>
      <c r="D59" s="186"/>
      <c r="E59" s="134"/>
      <c r="F59" s="134"/>
      <c r="G59" s="171"/>
      <c r="H59" s="172"/>
      <c r="I59" s="170"/>
      <c r="J59" s="175"/>
      <c r="K59" s="171"/>
      <c r="L59" s="171"/>
      <c r="M59" s="172"/>
      <c r="N59" s="172"/>
      <c r="O59" s="170"/>
      <c r="P59" s="172"/>
      <c r="Q59" s="172"/>
      <c r="R59" s="176"/>
      <c r="S59" s="172"/>
      <c r="T59" s="175"/>
      <c r="U59" s="172"/>
      <c r="V59" s="175"/>
      <c r="W59" s="170"/>
      <c r="X59" s="175"/>
      <c r="Y59" s="170"/>
      <c r="Z59" s="171"/>
      <c r="AA59" s="171"/>
      <c r="AB59" s="172"/>
      <c r="AC59" s="175"/>
      <c r="AD59" s="172"/>
      <c r="AE59" s="172"/>
      <c r="AF59" s="189"/>
      <c r="AG59" s="171"/>
      <c r="AH59" s="171"/>
    </row>
    <row r="60" spans="1:34" ht="13.8" customHeight="1" x14ac:dyDescent="0.25">
      <c r="A60" s="134"/>
      <c r="B60" s="134"/>
      <c r="C60" s="134"/>
      <c r="D60" s="186"/>
      <c r="E60" s="134"/>
      <c r="F60" s="134"/>
      <c r="G60" s="171"/>
      <c r="H60" s="172"/>
      <c r="I60" s="170"/>
      <c r="J60" s="175"/>
      <c r="K60" s="171"/>
      <c r="L60" s="171"/>
      <c r="M60" s="172"/>
      <c r="N60" s="172"/>
      <c r="O60" s="170"/>
      <c r="P60" s="172"/>
      <c r="Q60" s="172"/>
      <c r="R60" s="176"/>
      <c r="S60" s="172"/>
      <c r="T60" s="175"/>
      <c r="U60" s="172"/>
      <c r="V60" s="175"/>
      <c r="W60" s="170"/>
      <c r="X60" s="175"/>
      <c r="Y60" s="170"/>
      <c r="Z60" s="171"/>
      <c r="AA60" s="171"/>
      <c r="AB60" s="172"/>
      <c r="AC60" s="175"/>
      <c r="AD60" s="172"/>
      <c r="AE60" s="172"/>
      <c r="AF60" s="189"/>
      <c r="AG60" s="171"/>
      <c r="AH60" s="171"/>
    </row>
    <row r="61" spans="1:34" ht="13.8" customHeight="1" x14ac:dyDescent="0.25">
      <c r="A61" s="134"/>
      <c r="B61" s="134"/>
      <c r="C61" s="134"/>
      <c r="D61" s="186"/>
      <c r="E61" s="134"/>
      <c r="F61" s="134"/>
      <c r="G61" s="171"/>
      <c r="H61" s="172"/>
      <c r="I61" s="170"/>
      <c r="J61" s="175"/>
      <c r="K61" s="171"/>
      <c r="L61" s="171"/>
      <c r="M61" s="172"/>
      <c r="N61" s="172"/>
      <c r="O61" s="170"/>
      <c r="P61" s="172"/>
      <c r="Q61" s="172"/>
      <c r="R61" s="176"/>
      <c r="S61" s="172"/>
      <c r="T61" s="175"/>
      <c r="U61" s="172"/>
      <c r="V61" s="175"/>
      <c r="W61" s="170"/>
      <c r="X61" s="175"/>
      <c r="Y61" s="170"/>
      <c r="Z61" s="171"/>
      <c r="AA61" s="171"/>
      <c r="AB61" s="172"/>
      <c r="AC61" s="175"/>
      <c r="AD61" s="172"/>
      <c r="AE61" s="172"/>
      <c r="AF61" s="189"/>
      <c r="AG61" s="171"/>
      <c r="AH61" s="171"/>
    </row>
    <row r="62" spans="1:34" ht="13.5" customHeight="1" x14ac:dyDescent="0.25">
      <c r="A62" s="134"/>
      <c r="B62" s="134"/>
      <c r="C62" s="134"/>
      <c r="D62" s="186"/>
      <c r="E62" s="134"/>
      <c r="F62" s="134"/>
      <c r="G62" s="171"/>
      <c r="H62" s="172"/>
      <c r="I62" s="170"/>
      <c r="J62" s="175"/>
      <c r="K62" s="171"/>
      <c r="L62" s="171"/>
      <c r="M62" s="172"/>
      <c r="N62" s="172"/>
      <c r="O62" s="170"/>
      <c r="P62" s="172"/>
      <c r="Q62" s="172"/>
      <c r="R62" s="176"/>
      <c r="S62" s="172"/>
      <c r="T62" s="175"/>
      <c r="U62" s="172"/>
      <c r="V62" s="175"/>
      <c r="W62" s="170"/>
      <c r="X62" s="175"/>
      <c r="Y62" s="170"/>
      <c r="Z62" s="171"/>
      <c r="AA62" s="171"/>
      <c r="AB62" s="172"/>
      <c r="AC62" s="175"/>
      <c r="AD62" s="172"/>
      <c r="AE62" s="172"/>
      <c r="AF62" s="189"/>
      <c r="AG62" s="171"/>
      <c r="AH62" s="171"/>
    </row>
    <row r="63" spans="1:34" ht="13.8" customHeight="1" x14ac:dyDescent="0.25">
      <c r="A63" s="134"/>
      <c r="B63" s="134"/>
      <c r="C63" s="134"/>
      <c r="D63" s="186"/>
      <c r="E63" s="134"/>
      <c r="F63" s="134"/>
      <c r="G63" s="171"/>
      <c r="H63" s="172"/>
      <c r="I63" s="170"/>
      <c r="J63" s="175"/>
      <c r="K63" s="171"/>
      <c r="L63" s="171"/>
      <c r="M63" s="172"/>
      <c r="N63" s="172"/>
      <c r="O63" s="170"/>
      <c r="P63" s="172"/>
      <c r="Q63" s="172"/>
      <c r="R63" s="176"/>
      <c r="S63" s="172"/>
      <c r="T63" s="175"/>
      <c r="U63" s="172"/>
      <c r="V63" s="175"/>
      <c r="W63" s="170"/>
      <c r="X63" s="175"/>
      <c r="Y63" s="170"/>
      <c r="Z63" s="171"/>
      <c r="AA63" s="171"/>
      <c r="AB63" s="172"/>
      <c r="AC63" s="175"/>
      <c r="AD63" s="172"/>
      <c r="AE63" s="172"/>
      <c r="AF63" s="178"/>
      <c r="AG63" s="171"/>
      <c r="AH63" s="171"/>
    </row>
    <row r="64" spans="1:34" ht="13.8" customHeight="1" x14ac:dyDescent="0.25">
      <c r="A64" s="134"/>
      <c r="B64" s="134"/>
      <c r="C64" s="134"/>
      <c r="D64" s="186"/>
      <c r="E64" s="134"/>
      <c r="F64" s="134"/>
      <c r="G64" s="171"/>
      <c r="H64" s="172"/>
      <c r="I64" s="170"/>
      <c r="J64" s="175"/>
      <c r="K64" s="171"/>
      <c r="L64" s="171"/>
      <c r="M64" s="172"/>
      <c r="N64" s="172"/>
      <c r="O64" s="170"/>
      <c r="P64" s="172"/>
      <c r="Q64" s="172"/>
      <c r="R64" s="176"/>
      <c r="S64" s="172"/>
      <c r="T64" s="175"/>
      <c r="U64" s="172"/>
      <c r="V64" s="175"/>
      <c r="W64" s="170"/>
      <c r="X64" s="175"/>
      <c r="Y64" s="170"/>
      <c r="Z64" s="171"/>
      <c r="AA64" s="171"/>
      <c r="AB64" s="172"/>
      <c r="AC64" s="175"/>
      <c r="AD64" s="172"/>
      <c r="AE64" s="172"/>
      <c r="AF64" s="178"/>
      <c r="AG64" s="171"/>
      <c r="AH64" s="171"/>
    </row>
    <row r="65" spans="1:34" ht="13.8" customHeight="1" x14ac:dyDescent="0.25">
      <c r="A65" s="134"/>
      <c r="B65" s="134"/>
      <c r="C65" s="134"/>
      <c r="D65" s="186"/>
      <c r="E65" s="134"/>
      <c r="F65" s="134"/>
      <c r="G65" s="171"/>
      <c r="H65" s="172"/>
      <c r="I65" s="170"/>
      <c r="J65" s="175"/>
      <c r="K65" s="171"/>
      <c r="L65" s="171"/>
      <c r="M65" s="172"/>
      <c r="N65" s="172"/>
      <c r="O65" s="170"/>
      <c r="P65" s="172"/>
      <c r="Q65" s="172"/>
      <c r="R65" s="176"/>
      <c r="S65" s="172"/>
      <c r="T65" s="175"/>
      <c r="U65" s="172"/>
      <c r="V65" s="175"/>
      <c r="W65" s="170"/>
      <c r="X65" s="175"/>
      <c r="Y65" s="170"/>
      <c r="Z65" s="171"/>
      <c r="AA65" s="171"/>
      <c r="AB65" s="172"/>
      <c r="AC65" s="175"/>
      <c r="AD65" s="172"/>
      <c r="AE65" s="172"/>
      <c r="AF65" s="178"/>
      <c r="AG65" s="171"/>
      <c r="AH65" s="171"/>
    </row>
    <row r="66" spans="1:34" ht="13.8" customHeight="1" x14ac:dyDescent="0.25">
      <c r="A66" s="134"/>
      <c r="B66" s="134"/>
      <c r="C66" s="134"/>
      <c r="D66" s="187"/>
      <c r="E66" s="134"/>
      <c r="F66" s="134"/>
      <c r="G66" s="171"/>
      <c r="H66" s="172"/>
      <c r="I66" s="170"/>
      <c r="J66" s="175"/>
      <c r="K66" s="171"/>
      <c r="L66" s="171"/>
      <c r="M66" s="172"/>
      <c r="N66" s="172"/>
      <c r="O66" s="170"/>
      <c r="P66" s="172"/>
      <c r="Q66" s="172"/>
      <c r="R66" s="176"/>
      <c r="S66" s="172"/>
      <c r="T66" s="175"/>
      <c r="U66" s="172"/>
      <c r="V66" s="175"/>
      <c r="W66" s="170"/>
      <c r="X66" s="175"/>
      <c r="Y66" s="170"/>
      <c r="Z66" s="171"/>
      <c r="AA66" s="171"/>
      <c r="AB66" s="172"/>
      <c r="AC66" s="175"/>
      <c r="AD66" s="172"/>
      <c r="AE66" s="172"/>
      <c r="AF66" s="134"/>
      <c r="AG66" s="171"/>
      <c r="AH66" s="171"/>
    </row>
    <row r="67" spans="1:34" ht="13.8" customHeight="1" x14ac:dyDescent="0.25">
      <c r="A67" s="134"/>
      <c r="B67" s="134"/>
      <c r="C67" s="134"/>
      <c r="D67" s="186"/>
      <c r="E67" s="134"/>
      <c r="F67" s="134"/>
      <c r="G67" s="171"/>
      <c r="H67" s="172"/>
      <c r="I67" s="170"/>
      <c r="J67" s="175"/>
      <c r="K67" s="171"/>
      <c r="L67" s="171"/>
      <c r="M67" s="172"/>
      <c r="N67" s="172"/>
      <c r="O67" s="170"/>
      <c r="P67" s="172"/>
      <c r="Q67" s="172"/>
      <c r="R67" s="176"/>
      <c r="S67" s="172"/>
      <c r="T67" s="175"/>
      <c r="U67" s="172"/>
      <c r="V67" s="175"/>
      <c r="W67" s="170"/>
      <c r="X67" s="175"/>
      <c r="Y67" s="170"/>
      <c r="Z67" s="171"/>
      <c r="AA67" s="171"/>
      <c r="AB67" s="172"/>
      <c r="AC67" s="175"/>
      <c r="AD67" s="172"/>
      <c r="AE67" s="172"/>
      <c r="AF67" s="178"/>
      <c r="AG67" s="171"/>
      <c r="AH67" s="171"/>
    </row>
    <row r="68" spans="1:34" ht="13.8" customHeight="1" x14ac:dyDescent="0.25">
      <c r="A68" s="134"/>
      <c r="B68" s="134"/>
      <c r="C68" s="134"/>
      <c r="D68" s="186"/>
      <c r="E68" s="134"/>
      <c r="F68" s="134"/>
      <c r="G68" s="171"/>
      <c r="H68" s="172"/>
      <c r="I68" s="170"/>
      <c r="J68" s="175"/>
      <c r="K68" s="171"/>
      <c r="L68" s="171"/>
      <c r="M68" s="172"/>
      <c r="N68" s="172"/>
      <c r="O68" s="170"/>
      <c r="P68" s="172"/>
      <c r="Q68" s="172"/>
      <c r="R68" s="176"/>
      <c r="S68" s="172"/>
      <c r="T68" s="175"/>
      <c r="U68" s="172"/>
      <c r="V68" s="175"/>
      <c r="W68" s="170"/>
      <c r="X68" s="175"/>
      <c r="Y68" s="170"/>
      <c r="Z68" s="171"/>
      <c r="AA68" s="171"/>
      <c r="AB68" s="172"/>
      <c r="AC68" s="175"/>
      <c r="AD68" s="172"/>
      <c r="AE68" s="172"/>
      <c r="AF68" s="178"/>
      <c r="AG68" s="171"/>
      <c r="AH68" s="171"/>
    </row>
    <row r="69" spans="1:34" ht="13.2" customHeight="1" x14ac:dyDescent="0.25">
      <c r="A69" s="134"/>
      <c r="B69" s="134"/>
      <c r="C69" s="134"/>
      <c r="D69" s="186"/>
      <c r="E69" s="134"/>
      <c r="F69" s="134"/>
      <c r="G69" s="171"/>
      <c r="H69" s="172"/>
      <c r="I69" s="170"/>
      <c r="J69" s="175"/>
      <c r="K69" s="171"/>
      <c r="L69" s="171"/>
      <c r="M69" s="172"/>
      <c r="N69" s="172"/>
      <c r="O69" s="170"/>
      <c r="P69" s="172"/>
      <c r="Q69" s="172"/>
      <c r="R69" s="176"/>
      <c r="S69" s="172"/>
      <c r="T69" s="175"/>
      <c r="U69" s="172"/>
      <c r="V69" s="175"/>
      <c r="W69" s="170"/>
      <c r="X69" s="175"/>
      <c r="Y69" s="170"/>
      <c r="Z69" s="171"/>
      <c r="AA69" s="171"/>
      <c r="AB69" s="172"/>
      <c r="AC69" s="175"/>
      <c r="AD69" s="172"/>
      <c r="AE69" s="172"/>
      <c r="AF69" s="178"/>
      <c r="AG69" s="171"/>
      <c r="AH69" s="171"/>
    </row>
    <row r="70" spans="1:34" ht="13.8" customHeight="1" x14ac:dyDescent="0.25">
      <c r="A70" s="134"/>
      <c r="B70" s="134"/>
      <c r="C70" s="134"/>
      <c r="D70" s="186"/>
      <c r="E70" s="134"/>
      <c r="F70" s="134"/>
      <c r="G70" s="171"/>
      <c r="H70" s="172"/>
      <c r="I70" s="170"/>
      <c r="J70" s="175"/>
      <c r="K70" s="171"/>
      <c r="L70" s="171"/>
      <c r="M70" s="172"/>
      <c r="N70" s="172"/>
      <c r="O70" s="170"/>
      <c r="P70" s="172"/>
      <c r="Q70" s="172"/>
      <c r="R70" s="176"/>
      <c r="S70" s="172"/>
      <c r="T70" s="175"/>
      <c r="U70" s="172"/>
      <c r="V70" s="175"/>
      <c r="W70" s="170"/>
      <c r="X70" s="175"/>
      <c r="Y70" s="170"/>
      <c r="Z70" s="171"/>
      <c r="AA70" s="171"/>
      <c r="AB70" s="172"/>
      <c r="AC70" s="175"/>
      <c r="AD70" s="172"/>
      <c r="AE70" s="172"/>
      <c r="AF70" s="178"/>
      <c r="AG70" s="171"/>
      <c r="AH70" s="171"/>
    </row>
    <row r="71" spans="1:34" x14ac:dyDescent="0.25">
      <c r="A71" s="134"/>
      <c r="B71" s="134"/>
      <c r="C71" s="134"/>
      <c r="D71" s="186"/>
      <c r="E71" s="134"/>
      <c r="F71" s="134"/>
      <c r="G71" s="171"/>
      <c r="H71" s="172"/>
      <c r="I71" s="170"/>
      <c r="J71" s="175"/>
      <c r="K71" s="171"/>
      <c r="L71" s="171"/>
      <c r="M71" s="172"/>
      <c r="N71" s="172"/>
      <c r="O71" s="170"/>
      <c r="P71" s="172"/>
      <c r="Q71" s="172"/>
      <c r="R71" s="176"/>
      <c r="S71" s="172"/>
      <c r="T71" s="175"/>
      <c r="U71" s="172"/>
      <c r="V71" s="175"/>
      <c r="W71" s="170"/>
      <c r="X71" s="175"/>
      <c r="Y71" s="170"/>
      <c r="Z71" s="171"/>
      <c r="AA71" s="171"/>
      <c r="AB71" s="172"/>
      <c r="AC71" s="175"/>
      <c r="AD71" s="172"/>
      <c r="AE71" s="172"/>
      <c r="AF71" s="189"/>
      <c r="AG71" s="171"/>
      <c r="AH71" s="171"/>
    </row>
    <row r="72" spans="1:34" ht="13.8" customHeight="1" x14ac:dyDescent="0.25">
      <c r="A72" s="134"/>
      <c r="B72" s="134"/>
      <c r="C72" s="134"/>
      <c r="D72" s="186"/>
      <c r="E72" s="134"/>
      <c r="F72" s="134"/>
      <c r="G72" s="171"/>
      <c r="H72" s="172"/>
      <c r="I72" s="170"/>
      <c r="J72" s="175"/>
      <c r="K72" s="171"/>
      <c r="L72" s="171"/>
      <c r="M72" s="172"/>
      <c r="N72" s="172"/>
      <c r="O72" s="170"/>
      <c r="P72" s="172"/>
      <c r="Q72" s="172"/>
      <c r="R72" s="176"/>
      <c r="S72" s="172"/>
      <c r="T72" s="175"/>
      <c r="U72" s="172"/>
      <c r="V72" s="175"/>
      <c r="W72" s="170"/>
      <c r="X72" s="175"/>
      <c r="Y72" s="170"/>
      <c r="Z72" s="171"/>
      <c r="AA72" s="171"/>
      <c r="AB72" s="172"/>
      <c r="AC72" s="175"/>
      <c r="AD72" s="172"/>
      <c r="AE72" s="172"/>
      <c r="AF72" s="189"/>
      <c r="AG72" s="171"/>
      <c r="AH72" s="171"/>
    </row>
    <row r="73" spans="1:34" ht="13.8" customHeight="1" x14ac:dyDescent="0.25">
      <c r="A73" s="134"/>
      <c r="B73" s="134"/>
      <c r="C73" s="134"/>
      <c r="D73" s="186"/>
      <c r="E73" s="134"/>
      <c r="F73" s="134"/>
      <c r="G73" s="171"/>
      <c r="H73" s="172"/>
      <c r="I73" s="170"/>
      <c r="J73" s="175"/>
      <c r="K73" s="171"/>
      <c r="L73" s="171"/>
      <c r="M73" s="172"/>
      <c r="N73" s="172"/>
      <c r="O73" s="170"/>
      <c r="P73" s="172"/>
      <c r="Q73" s="172"/>
      <c r="R73" s="176"/>
      <c r="S73" s="172"/>
      <c r="T73" s="175"/>
      <c r="U73" s="172"/>
      <c r="V73" s="175"/>
      <c r="W73" s="170"/>
      <c r="X73" s="175"/>
      <c r="Y73" s="170"/>
      <c r="Z73" s="171"/>
      <c r="AA73" s="171"/>
      <c r="AB73" s="172"/>
      <c r="AC73" s="175"/>
      <c r="AD73" s="172"/>
      <c r="AE73" s="172"/>
      <c r="AF73" s="178"/>
      <c r="AG73" s="171"/>
      <c r="AH73" s="171"/>
    </row>
    <row r="74" spans="1:34" ht="13.8" customHeight="1" x14ac:dyDescent="0.25">
      <c r="A74" s="134"/>
      <c r="C74" s="134"/>
      <c r="E74" s="134"/>
      <c r="F74" s="134"/>
      <c r="G74" s="171"/>
      <c r="H74" s="172"/>
      <c r="I74" s="170"/>
      <c r="J74" s="175"/>
      <c r="K74" s="171"/>
      <c r="L74" s="171"/>
      <c r="M74" s="172"/>
      <c r="N74" s="172"/>
      <c r="O74" s="170"/>
      <c r="P74" s="172"/>
      <c r="Q74" s="172"/>
      <c r="R74" s="176"/>
      <c r="S74" s="172"/>
      <c r="T74" s="175"/>
      <c r="U74" s="172"/>
      <c r="V74" s="175"/>
      <c r="W74" s="170"/>
      <c r="X74" s="175"/>
      <c r="Y74" s="170"/>
      <c r="Z74" s="171"/>
      <c r="AA74" s="171"/>
      <c r="AB74" s="172"/>
      <c r="AC74" s="175"/>
      <c r="AD74" s="172"/>
      <c r="AE74" s="172"/>
      <c r="AF74" s="189"/>
      <c r="AG74" s="171"/>
      <c r="AH74" s="171"/>
    </row>
    <row r="75" spans="1:34" ht="13.8" customHeight="1" x14ac:dyDescent="0.25">
      <c r="A75" s="134"/>
      <c r="B75" s="134"/>
      <c r="C75" s="134"/>
      <c r="D75" s="186"/>
      <c r="E75" s="134"/>
      <c r="F75" s="134"/>
      <c r="G75" s="171"/>
      <c r="H75" s="172"/>
      <c r="I75" s="170"/>
      <c r="J75" s="175"/>
      <c r="K75" s="171"/>
      <c r="L75" s="171"/>
      <c r="M75" s="172"/>
      <c r="N75" s="172"/>
      <c r="O75" s="170"/>
      <c r="P75" s="172"/>
      <c r="Q75" s="172"/>
      <c r="R75" s="176"/>
      <c r="S75" s="172"/>
      <c r="T75" s="175"/>
      <c r="U75" s="172"/>
      <c r="V75" s="175"/>
      <c r="W75" s="170"/>
      <c r="X75" s="175"/>
      <c r="Y75" s="170"/>
      <c r="Z75" s="171"/>
      <c r="AA75" s="171"/>
      <c r="AB75" s="172"/>
      <c r="AC75" s="175"/>
      <c r="AD75" s="172"/>
      <c r="AE75" s="172"/>
      <c r="AF75" s="189"/>
      <c r="AG75" s="171"/>
      <c r="AH75" s="171"/>
    </row>
    <row r="76" spans="1:34" ht="13.8" customHeight="1" x14ac:dyDescent="0.25">
      <c r="A76" s="134"/>
      <c r="B76" s="134"/>
      <c r="C76" s="134"/>
      <c r="D76" s="186"/>
      <c r="E76" s="134"/>
      <c r="F76" s="134"/>
      <c r="G76" s="171"/>
      <c r="H76" s="172"/>
      <c r="I76" s="170"/>
      <c r="J76" s="175"/>
      <c r="K76" s="171"/>
      <c r="L76" s="171"/>
      <c r="M76" s="172"/>
      <c r="N76" s="172"/>
      <c r="O76" s="170"/>
      <c r="P76" s="172"/>
      <c r="Q76" s="172"/>
      <c r="R76" s="176"/>
      <c r="S76" s="172"/>
      <c r="T76" s="175"/>
      <c r="U76" s="172"/>
      <c r="V76" s="175"/>
      <c r="W76" s="170"/>
      <c r="X76" s="175"/>
      <c r="Y76" s="170"/>
      <c r="Z76" s="171"/>
      <c r="AA76" s="171"/>
      <c r="AB76" s="172"/>
      <c r="AC76" s="175"/>
      <c r="AD76" s="172"/>
      <c r="AE76" s="172"/>
      <c r="AF76" s="178"/>
      <c r="AG76" s="171"/>
      <c r="AH76" s="171"/>
    </row>
    <row r="77" spans="1:34" ht="13.8" customHeight="1" x14ac:dyDescent="0.25">
      <c r="A77" s="134"/>
      <c r="B77" s="134"/>
      <c r="C77" s="134"/>
      <c r="D77" s="186"/>
      <c r="E77" s="134"/>
      <c r="F77" s="134"/>
      <c r="G77" s="171"/>
      <c r="H77" s="172"/>
      <c r="I77" s="170"/>
      <c r="J77" s="175"/>
      <c r="K77" s="171"/>
      <c r="L77" s="171"/>
      <c r="M77" s="172"/>
      <c r="N77" s="172"/>
      <c r="O77" s="170"/>
      <c r="P77" s="172"/>
      <c r="Q77" s="172"/>
      <c r="R77" s="176"/>
      <c r="S77" s="172"/>
      <c r="T77" s="175"/>
      <c r="U77" s="172"/>
      <c r="V77" s="175"/>
      <c r="W77" s="170"/>
      <c r="X77" s="175"/>
      <c r="Y77" s="170"/>
      <c r="Z77" s="171"/>
      <c r="AA77" s="171"/>
      <c r="AB77" s="172"/>
      <c r="AC77" s="175"/>
      <c r="AD77" s="172"/>
      <c r="AE77" s="172"/>
      <c r="AF77" s="178"/>
      <c r="AG77" s="171"/>
      <c r="AH77" s="171"/>
    </row>
    <row r="78" spans="1:34" ht="13.8" customHeight="1" x14ac:dyDescent="0.25">
      <c r="A78" s="134"/>
      <c r="B78" s="134"/>
      <c r="C78" s="134"/>
      <c r="D78" s="186"/>
      <c r="E78" s="134"/>
      <c r="F78" s="134"/>
      <c r="G78" s="171"/>
      <c r="H78" s="172"/>
      <c r="I78" s="170"/>
      <c r="J78" s="175"/>
      <c r="K78" s="171"/>
      <c r="L78" s="171"/>
      <c r="M78" s="172"/>
      <c r="N78" s="172"/>
      <c r="O78" s="170"/>
      <c r="P78" s="172"/>
      <c r="Q78" s="172"/>
      <c r="R78" s="176"/>
      <c r="S78" s="172"/>
      <c r="T78" s="175"/>
      <c r="U78" s="172"/>
      <c r="V78" s="175"/>
      <c r="W78" s="170"/>
      <c r="X78" s="175"/>
      <c r="Y78" s="170"/>
      <c r="Z78" s="171"/>
      <c r="AA78" s="171"/>
      <c r="AB78" s="172"/>
      <c r="AC78" s="175"/>
      <c r="AD78" s="172"/>
      <c r="AE78" s="172"/>
      <c r="AF78" s="178"/>
      <c r="AG78" s="171"/>
      <c r="AH78" s="171"/>
    </row>
    <row r="79" spans="1:34" ht="13.8" customHeight="1" x14ac:dyDescent="0.25">
      <c r="A79" s="134"/>
      <c r="B79" s="134"/>
      <c r="C79" s="134"/>
      <c r="D79" s="186"/>
      <c r="E79" s="134"/>
      <c r="F79" s="134"/>
      <c r="G79" s="171"/>
      <c r="H79" s="172"/>
      <c r="I79" s="170"/>
      <c r="J79" s="175"/>
      <c r="K79" s="171"/>
      <c r="L79" s="171"/>
      <c r="M79" s="172"/>
      <c r="N79" s="172"/>
      <c r="O79" s="170"/>
      <c r="P79" s="172"/>
      <c r="Q79" s="172"/>
      <c r="R79" s="176"/>
      <c r="S79" s="172"/>
      <c r="T79" s="175"/>
      <c r="U79" s="172"/>
      <c r="V79" s="175"/>
      <c r="W79" s="170"/>
      <c r="X79" s="175"/>
      <c r="Y79" s="170"/>
      <c r="Z79" s="171"/>
      <c r="AA79" s="171"/>
      <c r="AB79" s="172"/>
      <c r="AC79" s="175"/>
      <c r="AD79" s="172"/>
      <c r="AE79" s="172"/>
      <c r="AF79" s="178"/>
      <c r="AG79" s="171"/>
      <c r="AH79" s="171"/>
    </row>
    <row r="80" spans="1:34" ht="13.8" customHeight="1" x14ac:dyDescent="0.25">
      <c r="A80" s="134"/>
      <c r="B80" s="134"/>
      <c r="C80" s="134"/>
      <c r="D80" s="186"/>
      <c r="E80" s="134"/>
      <c r="F80" s="134"/>
      <c r="G80" s="171"/>
      <c r="H80" s="172"/>
      <c r="I80" s="170"/>
      <c r="J80" s="175"/>
      <c r="K80" s="171"/>
      <c r="L80" s="171"/>
      <c r="M80" s="172"/>
      <c r="N80" s="172"/>
      <c r="O80" s="170"/>
      <c r="P80" s="172"/>
      <c r="Q80" s="172"/>
      <c r="R80" s="176"/>
      <c r="S80" s="172"/>
      <c r="T80" s="175"/>
      <c r="U80" s="172"/>
      <c r="V80" s="175"/>
      <c r="W80" s="170"/>
      <c r="X80" s="175"/>
      <c r="Y80" s="170"/>
      <c r="Z80" s="171"/>
      <c r="AA80" s="171"/>
      <c r="AB80" s="172"/>
      <c r="AC80" s="175"/>
      <c r="AD80" s="172"/>
      <c r="AE80" s="172"/>
      <c r="AF80" s="178"/>
      <c r="AG80" s="171"/>
      <c r="AH80" s="171"/>
    </row>
    <row r="81" spans="1:34" x14ac:dyDescent="0.25">
      <c r="A81" s="134"/>
      <c r="B81" s="134"/>
      <c r="C81" s="134"/>
      <c r="D81" s="186"/>
      <c r="E81" s="134"/>
      <c r="F81" s="134"/>
      <c r="G81" s="171"/>
      <c r="H81" s="172"/>
      <c r="I81" s="170"/>
      <c r="J81" s="175"/>
      <c r="K81" s="171"/>
      <c r="L81" s="171"/>
      <c r="M81" s="172"/>
      <c r="N81" s="172"/>
      <c r="O81" s="170"/>
      <c r="P81" s="172"/>
      <c r="Q81" s="172"/>
      <c r="R81" s="176"/>
      <c r="S81" s="172"/>
      <c r="T81" s="175"/>
      <c r="U81" s="172"/>
      <c r="V81" s="175"/>
      <c r="W81" s="170"/>
      <c r="X81" s="175"/>
      <c r="Y81" s="170"/>
      <c r="Z81" s="171"/>
      <c r="AA81" s="171"/>
      <c r="AB81" s="172"/>
      <c r="AC81" s="175"/>
      <c r="AD81" s="172"/>
      <c r="AE81" s="172"/>
      <c r="AF81" s="188"/>
      <c r="AG81" s="171"/>
      <c r="AH81" s="171"/>
    </row>
    <row r="82" spans="1:34" ht="13.8" customHeight="1" x14ac:dyDescent="0.25">
      <c r="A82" s="134"/>
      <c r="B82" s="134"/>
      <c r="C82" s="134"/>
      <c r="D82" s="186"/>
      <c r="E82" s="134"/>
      <c r="F82" s="134"/>
      <c r="G82" s="171"/>
      <c r="H82" s="172"/>
      <c r="I82" s="170"/>
      <c r="J82" s="175"/>
      <c r="K82" s="171"/>
      <c r="L82" s="171"/>
      <c r="M82" s="172"/>
      <c r="N82" s="172"/>
      <c r="O82" s="170"/>
      <c r="P82" s="172"/>
      <c r="Q82" s="172"/>
      <c r="R82" s="176"/>
      <c r="S82" s="172"/>
      <c r="T82" s="175"/>
      <c r="U82" s="172"/>
      <c r="V82" s="175"/>
      <c r="W82" s="170"/>
      <c r="X82" s="175"/>
      <c r="Y82" s="170"/>
      <c r="Z82" s="171"/>
      <c r="AA82" s="171"/>
      <c r="AB82" s="172"/>
      <c r="AC82" s="175"/>
      <c r="AD82" s="172"/>
      <c r="AE82" s="172"/>
      <c r="AF82" s="188"/>
      <c r="AG82" s="171"/>
      <c r="AH82" s="171"/>
    </row>
    <row r="83" spans="1:34" ht="13.8" customHeight="1" x14ac:dyDescent="0.25">
      <c r="A83" s="134"/>
      <c r="B83" s="134"/>
      <c r="C83" s="134"/>
      <c r="D83" s="186"/>
      <c r="E83" s="134"/>
      <c r="F83" s="134"/>
      <c r="G83" s="171"/>
      <c r="H83" s="172"/>
      <c r="I83" s="170"/>
      <c r="J83" s="175"/>
      <c r="K83" s="171"/>
      <c r="L83" s="171"/>
      <c r="M83" s="172"/>
      <c r="N83" s="172"/>
      <c r="O83" s="170"/>
      <c r="P83" s="172"/>
      <c r="Q83" s="172"/>
      <c r="R83" s="176"/>
      <c r="S83" s="172"/>
      <c r="T83" s="175"/>
      <c r="U83" s="172"/>
      <c r="V83" s="175"/>
      <c r="W83" s="170"/>
      <c r="X83" s="175"/>
      <c r="Y83" s="170"/>
      <c r="Z83" s="171"/>
      <c r="AA83" s="171"/>
      <c r="AB83" s="172"/>
      <c r="AC83" s="175"/>
      <c r="AD83" s="172"/>
      <c r="AE83" s="172"/>
      <c r="AF83" s="188"/>
      <c r="AG83" s="171"/>
      <c r="AH83" s="171"/>
    </row>
    <row r="84" spans="1:34" ht="13.8" customHeight="1" x14ac:dyDescent="0.25">
      <c r="A84" s="134"/>
      <c r="B84" s="134"/>
      <c r="C84" s="134"/>
      <c r="D84" s="196"/>
      <c r="E84" s="134"/>
      <c r="F84" s="134"/>
      <c r="G84" s="171"/>
      <c r="H84" s="172"/>
      <c r="I84" s="170"/>
      <c r="J84" s="175"/>
      <c r="K84" s="171"/>
      <c r="L84" s="171"/>
      <c r="M84" s="172"/>
      <c r="N84" s="172"/>
      <c r="O84" s="170"/>
      <c r="P84" s="172"/>
      <c r="Q84" s="172"/>
      <c r="R84" s="176"/>
      <c r="S84" s="172"/>
      <c r="T84" s="175"/>
      <c r="U84" s="172"/>
      <c r="V84" s="175"/>
      <c r="W84" s="170"/>
      <c r="X84" s="175"/>
      <c r="Y84" s="170"/>
      <c r="Z84" s="171"/>
      <c r="AA84" s="171"/>
      <c r="AB84" s="172"/>
      <c r="AC84" s="175"/>
      <c r="AD84" s="172"/>
      <c r="AE84" s="172"/>
      <c r="AF84" s="188"/>
      <c r="AG84" s="171"/>
      <c r="AH84" s="171"/>
    </row>
    <row r="85" spans="1:34" ht="13.8" customHeight="1" x14ac:dyDescent="0.25">
      <c r="A85" s="134"/>
      <c r="B85" s="134"/>
      <c r="C85" s="134"/>
      <c r="D85" s="186"/>
      <c r="E85" s="134"/>
      <c r="F85" s="134"/>
      <c r="G85" s="171"/>
      <c r="H85" s="172"/>
      <c r="I85" s="170"/>
      <c r="J85" s="175"/>
      <c r="K85" s="171"/>
      <c r="L85" s="171"/>
      <c r="M85" s="172"/>
      <c r="N85" s="172"/>
      <c r="O85" s="170"/>
      <c r="P85" s="172"/>
      <c r="Q85" s="172"/>
      <c r="R85" s="176"/>
      <c r="S85" s="172"/>
      <c r="T85" s="175"/>
      <c r="U85" s="172"/>
      <c r="V85" s="175"/>
      <c r="W85" s="170"/>
      <c r="X85" s="175"/>
      <c r="Y85" s="170"/>
      <c r="Z85" s="171"/>
      <c r="AA85" s="171"/>
      <c r="AB85" s="172"/>
      <c r="AC85" s="175"/>
      <c r="AD85" s="172"/>
      <c r="AE85" s="172"/>
      <c r="AF85" s="188"/>
      <c r="AG85" s="171"/>
      <c r="AH85" s="171"/>
    </row>
    <row r="86" spans="1:34" ht="13.8" customHeight="1" x14ac:dyDescent="0.25">
      <c r="A86" s="134"/>
      <c r="B86" s="134"/>
      <c r="C86" s="134"/>
      <c r="D86" s="186"/>
      <c r="E86" s="134"/>
      <c r="F86" s="134"/>
      <c r="G86" s="171"/>
      <c r="H86" s="172"/>
      <c r="I86" s="170"/>
      <c r="J86" s="175"/>
      <c r="K86" s="171"/>
      <c r="L86" s="171"/>
      <c r="M86" s="172"/>
      <c r="N86" s="172"/>
      <c r="O86" s="170"/>
      <c r="P86" s="172"/>
      <c r="Q86" s="172"/>
      <c r="R86" s="176"/>
      <c r="S86" s="172"/>
      <c r="T86" s="175"/>
      <c r="U86" s="172"/>
      <c r="V86" s="175"/>
      <c r="W86" s="170"/>
      <c r="X86" s="175"/>
      <c r="Y86" s="170"/>
      <c r="Z86" s="171"/>
      <c r="AA86" s="171"/>
      <c r="AB86" s="172"/>
      <c r="AC86" s="175"/>
      <c r="AD86" s="172"/>
      <c r="AE86" s="172"/>
      <c r="AF86" s="188"/>
      <c r="AG86" s="171"/>
      <c r="AH86" s="171"/>
    </row>
    <row r="87" spans="1:34" ht="13.8" customHeight="1" x14ac:dyDescent="0.25">
      <c r="A87" s="134"/>
      <c r="B87" s="134"/>
      <c r="C87" s="134"/>
      <c r="D87" s="186"/>
      <c r="E87" s="134"/>
      <c r="F87" s="134"/>
      <c r="G87" s="171"/>
      <c r="H87" s="172"/>
      <c r="I87" s="170"/>
      <c r="J87" s="175"/>
      <c r="K87" s="171"/>
      <c r="L87" s="171"/>
      <c r="M87" s="172"/>
      <c r="N87" s="172"/>
      <c r="O87" s="170"/>
      <c r="P87" s="172"/>
      <c r="Q87" s="172"/>
      <c r="R87" s="176"/>
      <c r="S87" s="172"/>
      <c r="T87" s="175"/>
      <c r="U87" s="172"/>
      <c r="V87" s="175"/>
      <c r="W87" s="170"/>
      <c r="X87" s="175"/>
      <c r="Y87" s="170"/>
      <c r="Z87" s="171"/>
      <c r="AA87" s="171"/>
      <c r="AB87" s="172"/>
      <c r="AC87" s="175"/>
      <c r="AD87" s="172"/>
      <c r="AE87" s="172"/>
      <c r="AF87" s="134"/>
      <c r="AG87" s="171"/>
      <c r="AH87" s="171"/>
    </row>
    <row r="88" spans="1:34" ht="13.8" customHeight="1" x14ac:dyDescent="0.25">
      <c r="A88" s="134"/>
      <c r="B88" s="134"/>
      <c r="C88" s="134"/>
      <c r="D88" s="186"/>
      <c r="E88" s="134"/>
      <c r="F88" s="134"/>
      <c r="G88" s="171"/>
      <c r="H88" s="172"/>
      <c r="I88" s="170"/>
      <c r="J88" s="175"/>
      <c r="K88" s="171"/>
      <c r="L88" s="171"/>
      <c r="M88" s="172"/>
      <c r="N88" s="172"/>
      <c r="O88" s="170"/>
      <c r="P88" s="172"/>
      <c r="Q88" s="172"/>
      <c r="R88" s="176"/>
      <c r="S88" s="172"/>
      <c r="T88" s="175"/>
      <c r="U88" s="172"/>
      <c r="V88" s="175"/>
      <c r="W88" s="170"/>
      <c r="X88" s="175"/>
      <c r="Y88" s="170"/>
      <c r="Z88" s="171"/>
      <c r="AA88" s="171"/>
      <c r="AB88" s="172"/>
      <c r="AC88" s="175"/>
      <c r="AD88" s="172"/>
      <c r="AE88" s="172"/>
      <c r="AF88" s="134"/>
      <c r="AG88" s="171"/>
      <c r="AH88" s="171"/>
    </row>
    <row r="89" spans="1:34" ht="13.8" customHeight="1" x14ac:dyDescent="0.25">
      <c r="A89" s="134"/>
      <c r="B89" s="134"/>
      <c r="C89" s="134"/>
      <c r="D89" s="186"/>
      <c r="E89" s="134"/>
      <c r="F89" s="134"/>
      <c r="G89" s="171"/>
      <c r="H89" s="172"/>
      <c r="I89" s="170"/>
      <c r="J89" s="175"/>
      <c r="K89" s="171"/>
      <c r="L89" s="171"/>
      <c r="M89" s="172"/>
      <c r="N89" s="172"/>
      <c r="O89" s="170"/>
      <c r="P89" s="172"/>
      <c r="Q89" s="172"/>
      <c r="R89" s="176"/>
      <c r="S89" s="172"/>
      <c r="T89" s="175"/>
      <c r="U89" s="172"/>
      <c r="V89" s="175"/>
      <c r="W89" s="170"/>
      <c r="X89" s="175"/>
      <c r="Y89" s="170"/>
      <c r="Z89" s="171"/>
      <c r="AA89" s="171"/>
      <c r="AB89" s="172"/>
      <c r="AC89" s="175"/>
      <c r="AD89" s="172"/>
      <c r="AE89" s="172"/>
      <c r="AF89" s="188"/>
      <c r="AG89" s="171"/>
      <c r="AH89" s="171"/>
    </row>
    <row r="90" spans="1:34" ht="13.8" customHeight="1" x14ac:dyDescent="0.25">
      <c r="A90" s="134"/>
      <c r="B90" s="134"/>
      <c r="C90" s="134"/>
      <c r="D90" s="186"/>
      <c r="E90" s="134"/>
      <c r="F90" s="134"/>
      <c r="G90" s="171"/>
      <c r="H90" s="171"/>
      <c r="I90" s="134"/>
      <c r="J90" s="173"/>
      <c r="K90" s="171"/>
      <c r="L90" s="171"/>
      <c r="M90" s="171"/>
      <c r="N90" s="171"/>
      <c r="O90" s="134"/>
      <c r="P90" s="171"/>
      <c r="Q90" s="171"/>
      <c r="R90" s="174"/>
      <c r="S90" s="171"/>
      <c r="T90" s="173"/>
      <c r="U90" s="171"/>
      <c r="V90" s="173"/>
      <c r="W90" s="134"/>
      <c r="X90" s="173"/>
      <c r="Y90" s="134"/>
      <c r="Z90" s="171"/>
      <c r="AA90" s="171"/>
      <c r="AB90" s="171"/>
      <c r="AC90" s="173"/>
      <c r="AD90" s="171"/>
      <c r="AE90" s="171"/>
      <c r="AF90" s="188"/>
      <c r="AG90" s="171"/>
      <c r="AH90" s="171"/>
    </row>
    <row r="91" spans="1:34" ht="13.8" customHeight="1" x14ac:dyDescent="0.25">
      <c r="A91" s="134"/>
      <c r="B91" s="134"/>
      <c r="C91" s="134"/>
      <c r="D91" s="186"/>
      <c r="E91" s="134"/>
      <c r="F91" s="134"/>
      <c r="G91" s="171"/>
      <c r="H91" s="171"/>
      <c r="I91" s="134"/>
      <c r="J91" s="173"/>
      <c r="K91" s="171"/>
      <c r="L91" s="171"/>
      <c r="M91" s="171"/>
      <c r="N91" s="171"/>
      <c r="O91" s="134"/>
      <c r="P91" s="171"/>
      <c r="Q91" s="171"/>
      <c r="R91" s="174"/>
      <c r="S91" s="171"/>
      <c r="T91" s="173"/>
      <c r="U91" s="171"/>
      <c r="V91" s="173"/>
      <c r="W91" s="134"/>
      <c r="X91" s="173"/>
      <c r="Y91" s="134"/>
      <c r="Z91" s="171"/>
      <c r="AA91" s="171"/>
      <c r="AB91" s="171"/>
      <c r="AC91" s="173"/>
      <c r="AD91" s="171"/>
      <c r="AE91" s="171"/>
      <c r="AF91" s="134"/>
      <c r="AG91" s="171"/>
      <c r="AH91" s="171"/>
    </row>
    <row r="92" spans="1:34" ht="13.8" customHeight="1" x14ac:dyDescent="0.25">
      <c r="A92" s="134"/>
      <c r="B92" s="134"/>
      <c r="C92" s="134"/>
      <c r="D92" s="186"/>
      <c r="E92" s="134"/>
      <c r="F92" s="134"/>
      <c r="G92" s="171"/>
      <c r="H92" s="171"/>
      <c r="I92" s="134"/>
      <c r="J92" s="173"/>
      <c r="K92" s="171"/>
      <c r="L92" s="171"/>
      <c r="M92" s="171"/>
      <c r="N92" s="171"/>
      <c r="O92" s="134"/>
      <c r="P92" s="171"/>
      <c r="Q92" s="171"/>
      <c r="R92" s="174"/>
      <c r="S92" s="171"/>
      <c r="T92" s="173"/>
      <c r="U92" s="171"/>
      <c r="V92" s="173"/>
      <c r="W92" s="134"/>
      <c r="X92" s="173"/>
      <c r="Y92" s="134"/>
      <c r="Z92" s="171"/>
      <c r="AA92" s="171"/>
      <c r="AB92" s="171"/>
      <c r="AC92" s="173"/>
      <c r="AD92" s="171"/>
      <c r="AE92" s="171"/>
      <c r="AF92" s="134"/>
      <c r="AG92" s="171"/>
      <c r="AH92" s="171"/>
    </row>
    <row r="93" spans="1:34" ht="13.8" customHeight="1" x14ac:dyDescent="0.25">
      <c r="A93" s="134"/>
      <c r="B93" s="134"/>
      <c r="C93" s="134"/>
      <c r="D93" s="186"/>
      <c r="E93" s="134"/>
      <c r="F93" s="134"/>
      <c r="G93" s="171"/>
      <c r="H93" s="171"/>
      <c r="I93" s="134"/>
      <c r="J93" s="173"/>
      <c r="K93" s="171"/>
      <c r="L93" s="171"/>
      <c r="M93" s="171"/>
      <c r="N93" s="171"/>
      <c r="O93" s="134"/>
      <c r="P93" s="171"/>
      <c r="Q93" s="171"/>
      <c r="R93" s="174"/>
      <c r="S93" s="171"/>
      <c r="T93" s="173"/>
      <c r="U93" s="171"/>
      <c r="V93" s="173"/>
      <c r="W93" s="134"/>
      <c r="X93" s="173"/>
      <c r="Y93" s="134"/>
      <c r="Z93" s="171"/>
      <c r="AA93" s="171"/>
      <c r="AB93" s="171"/>
      <c r="AC93" s="173"/>
      <c r="AD93" s="171"/>
      <c r="AE93" s="171"/>
      <c r="AF93" s="134"/>
      <c r="AG93" s="171"/>
      <c r="AH93" s="171"/>
    </row>
    <row r="94" spans="1:34" ht="13.8" customHeight="1" x14ac:dyDescent="0.25">
      <c r="A94" s="134"/>
      <c r="B94" s="134"/>
      <c r="C94" s="134"/>
      <c r="D94" s="186"/>
      <c r="E94" s="134"/>
      <c r="F94" s="134"/>
      <c r="G94" s="171"/>
      <c r="H94" s="171"/>
      <c r="I94" s="134"/>
      <c r="J94" s="173"/>
      <c r="K94" s="171"/>
      <c r="L94" s="171"/>
      <c r="M94" s="171"/>
      <c r="N94" s="171"/>
      <c r="O94" s="134"/>
      <c r="P94" s="171"/>
      <c r="Q94" s="171"/>
      <c r="R94" s="174"/>
      <c r="S94" s="171"/>
      <c r="T94" s="173"/>
      <c r="U94" s="171"/>
      <c r="V94" s="173"/>
      <c r="W94" s="134"/>
      <c r="X94" s="173"/>
      <c r="Y94" s="134"/>
      <c r="Z94" s="171"/>
      <c r="AA94" s="171"/>
      <c r="AB94" s="171"/>
      <c r="AC94" s="173"/>
      <c r="AD94" s="171"/>
      <c r="AE94" s="182"/>
      <c r="AF94" s="134"/>
      <c r="AG94" s="171"/>
      <c r="AH94" s="171"/>
    </row>
    <row r="95" spans="1:34" ht="13.8" customHeight="1" x14ac:dyDescent="0.25">
      <c r="A95" s="134"/>
      <c r="B95" s="134"/>
      <c r="C95" s="134"/>
      <c r="D95" s="186"/>
      <c r="E95" s="134"/>
      <c r="F95" s="134"/>
      <c r="G95" s="171"/>
      <c r="H95" s="171"/>
      <c r="I95" s="134"/>
      <c r="J95" s="173"/>
      <c r="K95" s="171"/>
      <c r="L95" s="171"/>
      <c r="M95" s="171"/>
      <c r="N95" s="171"/>
      <c r="O95" s="134"/>
      <c r="P95" s="171"/>
      <c r="Q95" s="171"/>
      <c r="R95" s="174"/>
      <c r="S95" s="171"/>
      <c r="T95" s="173"/>
      <c r="U95" s="171"/>
      <c r="V95" s="173"/>
      <c r="W95" s="134"/>
      <c r="X95" s="173"/>
      <c r="Y95" s="134"/>
      <c r="Z95" s="171"/>
      <c r="AA95" s="171"/>
      <c r="AB95" s="171"/>
      <c r="AC95" s="173"/>
      <c r="AD95" s="171"/>
      <c r="AE95" s="182"/>
      <c r="AF95" s="134"/>
      <c r="AG95" s="171"/>
      <c r="AH95" s="171"/>
    </row>
    <row r="96" spans="1:34" s="132" customFormat="1" ht="13.8" customHeight="1" x14ac:dyDescent="0.25">
      <c r="A96" s="134"/>
      <c r="B96" s="134"/>
      <c r="C96" s="134"/>
      <c r="D96" s="186"/>
      <c r="E96" s="134"/>
      <c r="F96" s="134"/>
      <c r="G96" s="171"/>
      <c r="H96" s="171"/>
      <c r="I96" s="134"/>
      <c r="J96" s="173"/>
      <c r="K96" s="171"/>
      <c r="L96" s="171"/>
      <c r="M96" s="171"/>
      <c r="N96" s="171"/>
      <c r="O96" s="134"/>
      <c r="P96" s="171"/>
      <c r="Q96" s="171"/>
      <c r="R96" s="174"/>
      <c r="S96" s="171"/>
      <c r="T96" s="173"/>
      <c r="U96" s="171"/>
      <c r="V96" s="173"/>
      <c r="W96" s="134"/>
      <c r="X96" s="173"/>
      <c r="Y96" s="134"/>
      <c r="Z96" s="171"/>
      <c r="AA96" s="171"/>
      <c r="AB96" s="171"/>
      <c r="AC96" s="173"/>
      <c r="AD96" s="171"/>
      <c r="AE96" s="171"/>
      <c r="AF96" s="134"/>
      <c r="AG96" s="171"/>
      <c r="AH96" s="171"/>
    </row>
    <row r="97" spans="1:34" s="132" customFormat="1" ht="13.8" customHeight="1" x14ac:dyDescent="0.25">
      <c r="A97" s="134"/>
      <c r="B97" s="134"/>
      <c r="C97" s="134"/>
      <c r="D97" s="186"/>
      <c r="E97" s="134"/>
      <c r="F97" s="134"/>
      <c r="G97" s="171"/>
      <c r="H97" s="171"/>
      <c r="I97" s="134"/>
      <c r="J97" s="173"/>
      <c r="K97" s="171"/>
      <c r="L97" s="171"/>
      <c r="M97" s="171"/>
      <c r="N97" s="171"/>
      <c r="O97" s="134"/>
      <c r="P97" s="171"/>
      <c r="Q97" s="171"/>
      <c r="R97" s="174"/>
      <c r="S97" s="171"/>
      <c r="T97" s="173"/>
      <c r="U97" s="171"/>
      <c r="V97" s="173"/>
      <c r="W97" s="134"/>
      <c r="X97" s="173"/>
      <c r="Y97" s="134"/>
      <c r="Z97" s="171"/>
      <c r="AA97" s="171"/>
      <c r="AB97" s="171"/>
      <c r="AC97" s="173"/>
      <c r="AD97" s="171"/>
      <c r="AE97" s="171"/>
      <c r="AF97" s="134"/>
      <c r="AG97" s="171"/>
      <c r="AH97" s="171"/>
    </row>
    <row r="98" spans="1:34" ht="13.8" customHeight="1" x14ac:dyDescent="0.25">
      <c r="A98" s="134"/>
      <c r="B98" s="134"/>
      <c r="C98" s="134"/>
      <c r="D98" s="186"/>
      <c r="E98" s="134"/>
      <c r="F98" s="134"/>
      <c r="G98" s="171"/>
      <c r="H98" s="171"/>
      <c r="I98" s="134"/>
      <c r="J98" s="173"/>
      <c r="K98" s="171"/>
      <c r="L98" s="171"/>
      <c r="M98" s="171"/>
      <c r="N98" s="171"/>
      <c r="O98" s="134"/>
      <c r="P98" s="171"/>
      <c r="Q98" s="171"/>
      <c r="R98" s="174"/>
      <c r="S98" s="171"/>
      <c r="T98" s="173"/>
      <c r="U98" s="171"/>
      <c r="V98" s="173"/>
      <c r="W98" s="134"/>
      <c r="X98" s="173"/>
      <c r="Y98" s="134"/>
      <c r="Z98" s="171"/>
      <c r="AA98" s="171"/>
      <c r="AB98" s="171"/>
      <c r="AC98" s="173"/>
      <c r="AD98" s="171"/>
      <c r="AE98" s="171"/>
      <c r="AF98" s="134"/>
      <c r="AG98" s="171"/>
      <c r="AH98" s="171"/>
    </row>
    <row r="99" spans="1:34" ht="13.8" customHeight="1" x14ac:dyDescent="0.25">
      <c r="A99" s="134"/>
      <c r="B99" s="134"/>
      <c r="C99" s="134"/>
      <c r="D99" s="186"/>
      <c r="E99" s="134"/>
      <c r="F99" s="134"/>
      <c r="G99" s="171"/>
      <c r="H99" s="171"/>
      <c r="I99" s="134"/>
      <c r="J99" s="173"/>
      <c r="K99" s="171"/>
      <c r="L99" s="171"/>
      <c r="M99" s="171"/>
      <c r="N99" s="171"/>
      <c r="O99" s="134"/>
      <c r="P99" s="171"/>
      <c r="Q99" s="171"/>
      <c r="R99" s="174"/>
      <c r="S99" s="171"/>
      <c r="T99" s="173"/>
      <c r="U99" s="171"/>
      <c r="V99" s="173"/>
      <c r="W99" s="134"/>
      <c r="X99" s="173"/>
      <c r="Y99" s="134"/>
      <c r="Z99" s="171"/>
      <c r="AA99" s="171"/>
      <c r="AB99" s="171"/>
      <c r="AC99" s="173"/>
      <c r="AD99" s="171"/>
      <c r="AE99" s="171"/>
      <c r="AF99" s="134"/>
      <c r="AG99" s="171"/>
      <c r="AH99" s="171"/>
    </row>
    <row r="100" spans="1:34" ht="13.8" customHeight="1" x14ac:dyDescent="0.25">
      <c r="A100" s="134"/>
      <c r="B100" s="134"/>
      <c r="C100" s="134"/>
      <c r="D100" s="186"/>
      <c r="E100" s="134"/>
      <c r="F100" s="134"/>
      <c r="G100" s="171"/>
      <c r="H100" s="171"/>
      <c r="I100" s="134"/>
      <c r="J100" s="173"/>
      <c r="K100" s="171"/>
      <c r="L100" s="171"/>
      <c r="M100" s="171"/>
      <c r="N100" s="171"/>
      <c r="O100" s="134"/>
      <c r="P100" s="171"/>
      <c r="Q100" s="171"/>
      <c r="R100" s="174"/>
      <c r="S100" s="171"/>
      <c r="T100" s="173"/>
      <c r="U100" s="171"/>
      <c r="V100" s="173"/>
      <c r="W100" s="134"/>
      <c r="X100" s="173"/>
      <c r="Y100" s="134"/>
      <c r="Z100" s="171"/>
      <c r="AA100" s="171"/>
      <c r="AB100" s="171"/>
      <c r="AC100" s="173"/>
      <c r="AD100" s="171"/>
      <c r="AE100" s="171"/>
      <c r="AF100" s="134"/>
      <c r="AG100" s="171"/>
      <c r="AH100" s="171"/>
    </row>
    <row r="101" spans="1:34" ht="13.8" customHeight="1" x14ac:dyDescent="0.25">
      <c r="A101" s="134"/>
      <c r="B101" s="134"/>
      <c r="C101" s="134"/>
      <c r="D101" s="186"/>
      <c r="E101" s="134"/>
      <c r="F101" s="134"/>
      <c r="G101" s="171"/>
      <c r="H101" s="171"/>
      <c r="I101" s="134"/>
      <c r="J101" s="173"/>
      <c r="K101" s="171"/>
      <c r="L101" s="171"/>
      <c r="M101" s="171"/>
      <c r="N101" s="171"/>
      <c r="O101" s="134"/>
      <c r="P101" s="171"/>
      <c r="Q101" s="171"/>
      <c r="R101" s="174"/>
      <c r="S101" s="171"/>
      <c r="T101" s="173"/>
      <c r="U101" s="171"/>
      <c r="V101" s="173"/>
      <c r="W101" s="134"/>
      <c r="X101" s="173"/>
      <c r="Y101" s="134"/>
      <c r="Z101" s="171"/>
      <c r="AA101" s="171"/>
      <c r="AB101" s="171"/>
      <c r="AC101" s="173"/>
      <c r="AD101" s="171"/>
      <c r="AE101" s="171"/>
      <c r="AF101" s="134"/>
      <c r="AG101" s="171"/>
      <c r="AH101" s="171"/>
    </row>
    <row r="102" spans="1:34" ht="13.8" customHeight="1" x14ac:dyDescent="0.25">
      <c r="A102" s="134"/>
      <c r="B102" s="134"/>
      <c r="C102" s="134"/>
      <c r="D102" s="186"/>
      <c r="E102" s="134"/>
      <c r="F102" s="134"/>
      <c r="G102" s="171"/>
      <c r="H102" s="171"/>
      <c r="I102" s="134"/>
      <c r="J102" s="173"/>
      <c r="K102" s="171"/>
      <c r="L102" s="171"/>
      <c r="M102" s="171"/>
      <c r="N102" s="171"/>
      <c r="O102" s="134"/>
      <c r="P102" s="171"/>
      <c r="Q102" s="171"/>
      <c r="R102" s="174"/>
      <c r="S102" s="171"/>
      <c r="T102" s="173"/>
      <c r="U102" s="171"/>
      <c r="V102" s="173"/>
      <c r="W102" s="134"/>
      <c r="X102" s="173"/>
      <c r="Y102" s="134"/>
      <c r="Z102" s="171"/>
      <c r="AA102" s="171"/>
      <c r="AB102" s="171"/>
      <c r="AC102" s="173"/>
      <c r="AD102" s="171"/>
      <c r="AE102" s="171"/>
      <c r="AF102" s="134"/>
      <c r="AG102" s="171"/>
      <c r="AH102" s="171"/>
    </row>
    <row r="103" spans="1:34" ht="13.8" customHeight="1" x14ac:dyDescent="0.25">
      <c r="A103" s="134"/>
      <c r="B103" s="134"/>
      <c r="C103" s="134"/>
      <c r="D103" s="186"/>
      <c r="E103" s="134"/>
      <c r="F103" s="134"/>
      <c r="G103" s="171"/>
      <c r="H103" s="171"/>
      <c r="I103" s="134"/>
      <c r="J103" s="173"/>
      <c r="K103" s="171"/>
      <c r="L103" s="171"/>
      <c r="M103" s="171"/>
      <c r="N103" s="171"/>
      <c r="O103" s="134"/>
      <c r="P103" s="171"/>
      <c r="Q103" s="171"/>
      <c r="R103" s="174"/>
      <c r="S103" s="171"/>
      <c r="T103" s="173"/>
      <c r="U103" s="171"/>
      <c r="V103" s="173"/>
      <c r="W103" s="134"/>
      <c r="X103" s="173"/>
      <c r="Y103" s="134"/>
      <c r="Z103" s="171"/>
      <c r="AA103" s="171"/>
      <c r="AB103" s="171"/>
      <c r="AC103" s="173"/>
      <c r="AD103" s="171"/>
      <c r="AE103" s="171"/>
      <c r="AF103" s="134"/>
      <c r="AG103" s="171"/>
      <c r="AH103" s="171"/>
    </row>
    <row r="104" spans="1:34" ht="13.8" customHeight="1" x14ac:dyDescent="0.25">
      <c r="A104" s="134"/>
      <c r="B104" s="134"/>
      <c r="C104" s="134"/>
      <c r="D104" s="186"/>
      <c r="E104" s="134"/>
      <c r="F104" s="134"/>
      <c r="G104" s="171"/>
      <c r="H104" s="171"/>
      <c r="I104" s="134"/>
      <c r="J104" s="173"/>
      <c r="K104" s="171"/>
      <c r="L104" s="171"/>
      <c r="M104" s="171"/>
      <c r="N104" s="171"/>
      <c r="O104" s="134"/>
      <c r="P104" s="171"/>
      <c r="Q104" s="171"/>
      <c r="R104" s="174"/>
      <c r="S104" s="171"/>
      <c r="T104" s="173"/>
      <c r="U104" s="171"/>
      <c r="V104" s="173"/>
      <c r="W104" s="134"/>
      <c r="X104" s="173"/>
      <c r="Y104" s="134"/>
      <c r="Z104" s="171"/>
      <c r="AA104" s="171"/>
      <c r="AB104" s="171"/>
      <c r="AC104" s="173"/>
      <c r="AD104" s="171"/>
      <c r="AE104" s="171"/>
      <c r="AF104" s="134"/>
      <c r="AG104" s="171"/>
      <c r="AH104" s="171"/>
    </row>
    <row r="105" spans="1:34" ht="13.8" customHeight="1" x14ac:dyDescent="0.25">
      <c r="A105" s="134"/>
      <c r="B105" s="134"/>
      <c r="C105" s="134"/>
      <c r="D105" s="186"/>
      <c r="E105" s="134"/>
      <c r="F105" s="134"/>
      <c r="G105" s="171"/>
      <c r="H105" s="171"/>
      <c r="I105" s="134"/>
      <c r="J105" s="173"/>
      <c r="K105" s="171"/>
      <c r="L105" s="171"/>
      <c r="M105" s="171"/>
      <c r="N105" s="171"/>
      <c r="O105" s="134"/>
      <c r="P105" s="171"/>
      <c r="Q105" s="171"/>
      <c r="R105" s="174"/>
      <c r="S105" s="171"/>
      <c r="T105" s="173"/>
      <c r="U105" s="171"/>
      <c r="V105" s="173"/>
      <c r="W105" s="134"/>
      <c r="X105" s="173"/>
      <c r="Y105" s="134"/>
      <c r="Z105" s="171"/>
      <c r="AA105" s="171"/>
      <c r="AB105" s="171"/>
      <c r="AC105" s="173"/>
      <c r="AD105" s="171"/>
      <c r="AE105" s="182"/>
      <c r="AF105" s="134"/>
      <c r="AG105" s="171"/>
      <c r="AH105" s="171"/>
    </row>
    <row r="106" spans="1:34" s="132" customFormat="1" ht="13.8" customHeight="1" x14ac:dyDescent="0.25">
      <c r="A106" s="134"/>
      <c r="B106" s="134"/>
      <c r="C106" s="134"/>
      <c r="D106" s="186"/>
      <c r="E106" s="134"/>
      <c r="F106" s="134"/>
      <c r="G106" s="171"/>
      <c r="H106" s="171"/>
      <c r="I106" s="134"/>
      <c r="J106" s="173"/>
      <c r="K106" s="171"/>
      <c r="L106" s="171"/>
      <c r="M106" s="171"/>
      <c r="N106" s="171"/>
      <c r="O106" s="134"/>
      <c r="P106" s="171"/>
      <c r="Q106" s="171"/>
      <c r="R106" s="174"/>
      <c r="S106" s="171"/>
      <c r="T106" s="173"/>
      <c r="U106" s="171"/>
      <c r="V106" s="173"/>
      <c r="W106" s="134"/>
      <c r="X106" s="173"/>
      <c r="Y106" s="134"/>
      <c r="Z106" s="171"/>
      <c r="AA106" s="171"/>
      <c r="AB106" s="171"/>
      <c r="AC106" s="173"/>
      <c r="AD106" s="171"/>
      <c r="AE106" s="171"/>
      <c r="AF106" s="134"/>
      <c r="AG106" s="171"/>
      <c r="AH106" s="171"/>
    </row>
    <row r="107" spans="1:34" s="132" customFormat="1" ht="13.8" customHeight="1" x14ac:dyDescent="0.25">
      <c r="A107" s="134"/>
      <c r="B107" s="134"/>
      <c r="C107" s="134"/>
      <c r="D107" s="186"/>
      <c r="E107" s="134"/>
      <c r="F107" s="134"/>
      <c r="G107" s="171"/>
      <c r="H107" s="171"/>
      <c r="I107" s="134"/>
      <c r="J107" s="173"/>
      <c r="K107" s="171"/>
      <c r="L107" s="171"/>
      <c r="M107" s="171"/>
      <c r="N107" s="171"/>
      <c r="O107" s="134"/>
      <c r="P107" s="171"/>
      <c r="Q107" s="171"/>
      <c r="R107" s="174"/>
      <c r="S107" s="171"/>
      <c r="T107" s="173"/>
      <c r="U107" s="171"/>
      <c r="V107" s="173"/>
      <c r="W107" s="134"/>
      <c r="X107" s="173"/>
      <c r="Y107" s="134"/>
      <c r="Z107" s="171"/>
      <c r="AA107" s="171"/>
      <c r="AB107" s="171"/>
      <c r="AC107" s="173"/>
      <c r="AD107" s="171"/>
      <c r="AE107" s="171"/>
      <c r="AF107" s="134"/>
      <c r="AG107" s="171"/>
      <c r="AH107" s="171"/>
    </row>
    <row r="108" spans="1:34" ht="13.8" x14ac:dyDescent="0.25">
      <c r="A108" s="134"/>
      <c r="B108" s="134"/>
      <c r="C108" s="134"/>
      <c r="D108" s="183"/>
      <c r="E108" s="134"/>
      <c r="F108" s="134"/>
      <c r="G108" s="171"/>
      <c r="H108" s="171"/>
      <c r="I108" s="134"/>
      <c r="J108" s="173"/>
      <c r="K108" s="171"/>
      <c r="L108" s="171"/>
      <c r="M108" s="171"/>
      <c r="N108" s="171"/>
      <c r="O108" s="134"/>
      <c r="P108" s="171"/>
      <c r="Q108" s="171"/>
      <c r="R108" s="174"/>
      <c r="S108" s="171"/>
      <c r="T108" s="173"/>
      <c r="U108" s="171"/>
      <c r="V108" s="173"/>
      <c r="W108" s="134"/>
      <c r="X108" s="173"/>
      <c r="Y108" s="134"/>
      <c r="Z108" s="171"/>
      <c r="AA108" s="171"/>
      <c r="AB108" s="171"/>
      <c r="AC108" s="173"/>
      <c r="AD108" s="171"/>
      <c r="AE108" s="171"/>
      <c r="AF108" s="178"/>
      <c r="AG108" s="171"/>
      <c r="AH108" s="171"/>
    </row>
    <row r="109" spans="1:34" x14ac:dyDescent="0.25">
      <c r="A109" s="134"/>
      <c r="B109" s="134"/>
      <c r="C109" s="134"/>
      <c r="D109" s="186"/>
      <c r="E109" s="134"/>
      <c r="F109" s="134"/>
      <c r="G109" s="171"/>
      <c r="H109" s="171"/>
      <c r="I109" s="134"/>
      <c r="J109" s="173"/>
      <c r="K109" s="171"/>
      <c r="L109" s="171"/>
      <c r="M109" s="171"/>
      <c r="N109" s="171"/>
      <c r="O109" s="134"/>
      <c r="P109" s="171"/>
      <c r="Q109" s="171"/>
      <c r="R109" s="174"/>
      <c r="S109" s="171"/>
      <c r="T109" s="173"/>
      <c r="U109" s="171"/>
      <c r="V109" s="173"/>
      <c r="W109" s="134"/>
      <c r="X109" s="173"/>
      <c r="Y109" s="134"/>
      <c r="Z109" s="171"/>
      <c r="AA109" s="171"/>
      <c r="AB109" s="171"/>
      <c r="AC109" s="173"/>
      <c r="AD109" s="171"/>
      <c r="AE109" s="171"/>
      <c r="AF109" s="197"/>
      <c r="AG109" s="171"/>
      <c r="AH109" s="171"/>
    </row>
    <row r="110" spans="1:34" ht="13.8" customHeight="1" x14ac:dyDescent="0.25">
      <c r="A110" s="134"/>
      <c r="B110" s="134"/>
      <c r="C110" s="134"/>
      <c r="D110" s="186"/>
      <c r="E110" s="134"/>
      <c r="F110" s="134"/>
      <c r="G110" s="171"/>
      <c r="H110" s="171"/>
      <c r="I110" s="134"/>
      <c r="J110" s="173"/>
      <c r="K110" s="171"/>
      <c r="L110" s="171"/>
      <c r="M110" s="171"/>
      <c r="N110" s="171"/>
      <c r="O110" s="134"/>
      <c r="P110" s="171"/>
      <c r="Q110" s="171"/>
      <c r="R110" s="174"/>
      <c r="S110" s="171"/>
      <c r="T110" s="173"/>
      <c r="U110" s="171"/>
      <c r="V110" s="173"/>
      <c r="W110" s="134"/>
      <c r="X110" s="173"/>
      <c r="Y110" s="134"/>
      <c r="Z110" s="171"/>
      <c r="AA110" s="171"/>
      <c r="AB110" s="171"/>
      <c r="AC110" s="173"/>
      <c r="AD110" s="171"/>
      <c r="AE110" s="171"/>
      <c r="AF110" s="197"/>
      <c r="AG110" s="171"/>
      <c r="AH110" s="171"/>
    </row>
    <row r="111" spans="1:34" ht="13.8" customHeight="1" x14ac:dyDescent="0.25">
      <c r="A111" s="134"/>
      <c r="B111" s="134"/>
      <c r="C111" s="134"/>
      <c r="D111" s="186"/>
      <c r="E111" s="134"/>
      <c r="F111" s="134"/>
      <c r="G111" s="171"/>
      <c r="H111" s="171"/>
      <c r="I111" s="134"/>
      <c r="J111" s="173"/>
      <c r="K111" s="171"/>
      <c r="L111" s="171"/>
      <c r="M111" s="171"/>
      <c r="N111" s="171"/>
      <c r="O111" s="134"/>
      <c r="P111" s="171"/>
      <c r="Q111" s="171"/>
      <c r="R111" s="174"/>
      <c r="S111" s="171"/>
      <c r="T111" s="173"/>
      <c r="U111" s="171"/>
      <c r="V111" s="173"/>
      <c r="W111" s="134"/>
      <c r="X111" s="173"/>
      <c r="Y111" s="134"/>
      <c r="Z111" s="171"/>
      <c r="AA111" s="171"/>
      <c r="AB111" s="171"/>
      <c r="AC111" s="173"/>
      <c r="AD111" s="171"/>
      <c r="AE111" s="171"/>
      <c r="AF111" s="178"/>
      <c r="AG111" s="171"/>
      <c r="AH111" s="171"/>
    </row>
    <row r="112" spans="1:34" ht="13.8" customHeight="1" x14ac:dyDescent="0.25">
      <c r="A112" s="134"/>
      <c r="B112" s="134"/>
      <c r="C112" s="134"/>
      <c r="D112" s="186"/>
      <c r="E112" s="134"/>
      <c r="F112" s="134"/>
      <c r="G112" s="171"/>
      <c r="H112" s="171"/>
      <c r="I112" s="134"/>
      <c r="J112" s="173"/>
      <c r="K112" s="171"/>
      <c r="L112" s="171"/>
      <c r="M112" s="171"/>
      <c r="N112" s="171"/>
      <c r="O112" s="134"/>
      <c r="P112" s="171"/>
      <c r="Q112" s="171"/>
      <c r="R112" s="174"/>
      <c r="S112" s="171"/>
      <c r="T112" s="173"/>
      <c r="U112" s="171"/>
      <c r="V112" s="173"/>
      <c r="W112" s="134"/>
      <c r="X112" s="173"/>
      <c r="Y112" s="134"/>
      <c r="Z112" s="171"/>
      <c r="AA112" s="171"/>
      <c r="AB112" s="171"/>
      <c r="AC112" s="173"/>
      <c r="AD112" s="171"/>
      <c r="AE112" s="171"/>
      <c r="AF112" s="197"/>
      <c r="AG112" s="171"/>
      <c r="AH112" s="171"/>
    </row>
    <row r="113" spans="1:34" ht="13.8" customHeight="1" x14ac:dyDescent="0.25">
      <c r="A113" s="134"/>
      <c r="B113" s="134"/>
      <c r="C113" s="134"/>
      <c r="D113" s="186"/>
      <c r="E113" s="134"/>
      <c r="F113" s="134"/>
      <c r="G113" s="171"/>
      <c r="H113" s="171"/>
      <c r="I113" s="134"/>
      <c r="J113" s="173"/>
      <c r="K113" s="171"/>
      <c r="L113" s="171"/>
      <c r="M113" s="171"/>
      <c r="N113" s="171"/>
      <c r="O113" s="134"/>
      <c r="P113" s="171"/>
      <c r="Q113" s="171"/>
      <c r="R113" s="174"/>
      <c r="S113" s="171"/>
      <c r="T113" s="173"/>
      <c r="U113" s="171"/>
      <c r="V113" s="173"/>
      <c r="W113" s="134"/>
      <c r="X113" s="173"/>
      <c r="Y113" s="134"/>
      <c r="Z113" s="171"/>
      <c r="AA113" s="171"/>
      <c r="AB113" s="171"/>
      <c r="AC113" s="173"/>
      <c r="AD113" s="171"/>
      <c r="AE113" s="171"/>
      <c r="AF113" s="197"/>
      <c r="AG113" s="171"/>
      <c r="AH113" s="171"/>
    </row>
    <row r="114" spans="1:34" ht="13.8" customHeight="1" x14ac:dyDescent="0.25">
      <c r="A114" s="134"/>
      <c r="B114" s="134"/>
      <c r="C114" s="134"/>
      <c r="D114" s="186"/>
      <c r="E114" s="134"/>
      <c r="F114" s="134"/>
      <c r="G114" s="171"/>
      <c r="H114" s="171"/>
      <c r="I114" s="134"/>
      <c r="J114" s="173"/>
      <c r="K114" s="171"/>
      <c r="L114" s="171"/>
      <c r="M114" s="171"/>
      <c r="N114" s="171"/>
      <c r="O114" s="134"/>
      <c r="P114" s="171"/>
      <c r="Q114" s="171"/>
      <c r="R114" s="174"/>
      <c r="S114" s="171"/>
      <c r="T114" s="173"/>
      <c r="U114" s="171"/>
      <c r="V114" s="173"/>
      <c r="W114" s="134"/>
      <c r="X114" s="173"/>
      <c r="Y114" s="134"/>
      <c r="Z114" s="171"/>
      <c r="AA114" s="171"/>
      <c r="AB114" s="171"/>
      <c r="AC114" s="173"/>
      <c r="AD114" s="171"/>
      <c r="AE114" s="171"/>
      <c r="AF114" s="197"/>
      <c r="AG114" s="171"/>
      <c r="AH114" s="171"/>
    </row>
    <row r="115" spans="1:34" s="132" customFormat="1" ht="13.8" customHeight="1" x14ac:dyDescent="0.25">
      <c r="A115" s="134"/>
      <c r="B115" s="134"/>
      <c r="C115" s="134"/>
      <c r="D115" s="186"/>
      <c r="E115" s="134"/>
      <c r="F115" s="134"/>
      <c r="G115" s="171"/>
      <c r="H115" s="171"/>
      <c r="I115" s="134"/>
      <c r="J115" s="173"/>
      <c r="K115" s="171"/>
      <c r="L115" s="171"/>
      <c r="M115" s="171"/>
      <c r="N115" s="171"/>
      <c r="O115" s="134"/>
      <c r="P115" s="171"/>
      <c r="Q115" s="171"/>
      <c r="R115" s="174"/>
      <c r="S115" s="171"/>
      <c r="T115" s="173"/>
      <c r="U115" s="171"/>
      <c r="V115" s="173"/>
      <c r="W115" s="134"/>
      <c r="X115" s="173"/>
      <c r="Y115" s="134"/>
      <c r="Z115" s="171"/>
      <c r="AA115" s="171"/>
      <c r="AB115" s="171"/>
      <c r="AC115" s="173"/>
      <c r="AD115" s="171"/>
      <c r="AE115" s="171"/>
      <c r="AF115" s="197"/>
      <c r="AG115" s="171"/>
      <c r="AH115" s="171"/>
    </row>
    <row r="116" spans="1:34" ht="13.8" customHeight="1" x14ac:dyDescent="0.25">
      <c r="A116" s="134"/>
      <c r="B116" s="134"/>
      <c r="C116" s="134"/>
      <c r="D116" s="186"/>
      <c r="E116" s="134"/>
      <c r="F116" s="134"/>
      <c r="G116" s="171"/>
      <c r="H116" s="171"/>
      <c r="I116" s="134"/>
      <c r="J116" s="173"/>
      <c r="K116" s="171"/>
      <c r="L116" s="171"/>
      <c r="M116" s="171"/>
      <c r="N116" s="171"/>
      <c r="O116" s="134"/>
      <c r="P116" s="171"/>
      <c r="Q116" s="171"/>
      <c r="R116" s="174"/>
      <c r="S116" s="171"/>
      <c r="T116" s="173"/>
      <c r="U116" s="171"/>
      <c r="V116" s="173"/>
      <c r="W116" s="134"/>
      <c r="X116" s="173"/>
      <c r="Y116" s="134"/>
      <c r="Z116" s="171"/>
      <c r="AA116" s="171"/>
      <c r="AB116" s="171"/>
      <c r="AC116" s="173"/>
      <c r="AD116" s="171"/>
      <c r="AE116" s="182"/>
      <c r="AF116" s="178"/>
      <c r="AG116" s="171"/>
      <c r="AH116" s="171"/>
    </row>
    <row r="117" spans="1:34" x14ac:dyDescent="0.25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73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</row>
    <row r="118" spans="1:34" x14ac:dyDescent="0.25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73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</row>
    <row r="119" spans="1:34" x14ac:dyDescent="0.25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73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</row>
    <row r="120" spans="1:34" x14ac:dyDescent="0.25">
      <c r="Y120" s="1"/>
    </row>
    <row r="121" spans="1:34" x14ac:dyDescent="0.25">
      <c r="Y121" s="1"/>
    </row>
    <row r="122" spans="1:34" x14ac:dyDescent="0.25">
      <c r="Y122" s="1"/>
    </row>
    <row r="123" spans="1:34" x14ac:dyDescent="0.25">
      <c r="Y123" s="1"/>
    </row>
    <row r="124" spans="1:34" x14ac:dyDescent="0.25">
      <c r="Y124" s="1"/>
    </row>
    <row r="125" spans="1:34" x14ac:dyDescent="0.25">
      <c r="Y125" s="1"/>
    </row>
    <row r="126" spans="1:34" x14ac:dyDescent="0.25">
      <c r="Y126" s="1"/>
    </row>
    <row r="127" spans="1:34" x14ac:dyDescent="0.25">
      <c r="Y127" s="1"/>
    </row>
    <row r="128" spans="1:34" x14ac:dyDescent="0.25">
      <c r="Y128" s="1"/>
    </row>
    <row r="129" spans="25:25" x14ac:dyDescent="0.25">
      <c r="Y129" s="1"/>
    </row>
    <row r="130" spans="25:25" x14ac:dyDescent="0.25">
      <c r="Y130" s="1"/>
    </row>
    <row r="131" spans="25:25" x14ac:dyDescent="0.25">
      <c r="Y131" s="1"/>
    </row>
    <row r="132" spans="25:25" x14ac:dyDescent="0.25">
      <c r="Y132" s="1"/>
    </row>
    <row r="133" spans="25:25" x14ac:dyDescent="0.25">
      <c r="Y133" s="1"/>
    </row>
    <row r="134" spans="25:25" x14ac:dyDescent="0.25">
      <c r="Y134" s="1"/>
    </row>
    <row r="135" spans="25:25" x14ac:dyDescent="0.25">
      <c r="Y135" s="1"/>
    </row>
    <row r="136" spans="25:25" x14ac:dyDescent="0.25">
      <c r="Y136" s="1"/>
    </row>
    <row r="137" spans="25:25" x14ac:dyDescent="0.25">
      <c r="Y137" s="1"/>
    </row>
    <row r="138" spans="25:25" x14ac:dyDescent="0.25">
      <c r="Y138" s="1"/>
    </row>
    <row r="139" spans="25:25" x14ac:dyDescent="0.25">
      <c r="Y139" s="1"/>
    </row>
    <row r="140" spans="25:25" x14ac:dyDescent="0.25">
      <c r="Y140" s="1"/>
    </row>
    <row r="141" spans="25:25" x14ac:dyDescent="0.25">
      <c r="Y141" s="1"/>
    </row>
    <row r="142" spans="25:25" x14ac:dyDescent="0.25">
      <c r="Y142" s="1"/>
    </row>
    <row r="143" spans="25:25" x14ac:dyDescent="0.25">
      <c r="Y143" s="1"/>
    </row>
    <row r="144" spans="25:25" x14ac:dyDescent="0.25">
      <c r="Y144" s="1"/>
    </row>
    <row r="145" spans="25:25" x14ac:dyDescent="0.25">
      <c r="Y145" s="1"/>
    </row>
    <row r="146" spans="25:25" x14ac:dyDescent="0.25">
      <c r="Y146" s="1"/>
    </row>
    <row r="147" spans="25:25" x14ac:dyDescent="0.25">
      <c r="Y147" s="1"/>
    </row>
    <row r="148" spans="25:25" x14ac:dyDescent="0.25">
      <c r="Y148" s="1"/>
    </row>
    <row r="149" spans="25:25" x14ac:dyDescent="0.25">
      <c r="Y149" s="1"/>
    </row>
    <row r="150" spans="25:25" x14ac:dyDescent="0.25">
      <c r="Y150" s="1"/>
    </row>
    <row r="151" spans="25:25" x14ac:dyDescent="0.25">
      <c r="Y151" s="1"/>
    </row>
    <row r="152" spans="25:25" x14ac:dyDescent="0.25">
      <c r="Y152" s="1"/>
    </row>
    <row r="153" spans="25:25" x14ac:dyDescent="0.25">
      <c r="Y153" s="1"/>
    </row>
    <row r="154" spans="25:25" x14ac:dyDescent="0.25">
      <c r="Y154" s="1"/>
    </row>
    <row r="155" spans="25:25" x14ac:dyDescent="0.25">
      <c r="Y155" s="1"/>
    </row>
    <row r="156" spans="25:25" x14ac:dyDescent="0.25">
      <c r="Y156" s="1"/>
    </row>
    <row r="157" spans="25:25" x14ac:dyDescent="0.25">
      <c r="Y157" s="1"/>
    </row>
    <row r="158" spans="25:25" x14ac:dyDescent="0.25">
      <c r="Y158" s="1"/>
    </row>
    <row r="159" spans="25:25" x14ac:dyDescent="0.25">
      <c r="Y159" s="1"/>
    </row>
    <row r="160" spans="25:25" x14ac:dyDescent="0.25">
      <c r="Y160" s="1"/>
    </row>
    <row r="161" spans="25:25" x14ac:dyDescent="0.25">
      <c r="Y161" s="1"/>
    </row>
    <row r="162" spans="25:25" x14ac:dyDescent="0.25">
      <c r="Y162" s="1"/>
    </row>
    <row r="163" spans="25:25" x14ac:dyDescent="0.25">
      <c r="Y163" s="1"/>
    </row>
    <row r="164" spans="25:25" x14ac:dyDescent="0.25">
      <c r="Y164" s="1"/>
    </row>
    <row r="165" spans="25:25" x14ac:dyDescent="0.25">
      <c r="Y165" s="1"/>
    </row>
    <row r="166" spans="25:25" x14ac:dyDescent="0.25">
      <c r="Y166" s="1"/>
    </row>
    <row r="167" spans="25:25" x14ac:dyDescent="0.25">
      <c r="Y167" s="1"/>
    </row>
    <row r="168" spans="25:25" x14ac:dyDescent="0.25">
      <c r="Y168" s="1"/>
    </row>
    <row r="169" spans="25:25" x14ac:dyDescent="0.25">
      <c r="Y169" s="1"/>
    </row>
    <row r="170" spans="25:25" x14ac:dyDescent="0.25">
      <c r="Y170" s="1"/>
    </row>
    <row r="171" spans="25:25" x14ac:dyDescent="0.25">
      <c r="Y171" s="1"/>
    </row>
    <row r="172" spans="25:25" x14ac:dyDescent="0.25">
      <c r="Y172" s="1"/>
    </row>
    <row r="173" spans="25:25" x14ac:dyDescent="0.25">
      <c r="Y173" s="1"/>
    </row>
    <row r="174" spans="25:25" x14ac:dyDescent="0.25">
      <c r="Y174" s="1"/>
    </row>
    <row r="175" spans="25:25" x14ac:dyDescent="0.25">
      <c r="Y175" s="1"/>
    </row>
    <row r="176" spans="25:25" x14ac:dyDescent="0.25">
      <c r="Y176" s="1"/>
    </row>
    <row r="177" spans="25:25" x14ac:dyDescent="0.25">
      <c r="Y177" s="1"/>
    </row>
    <row r="178" spans="25:25" x14ac:dyDescent="0.25">
      <c r="Y178" s="1"/>
    </row>
    <row r="179" spans="25:25" x14ac:dyDescent="0.25">
      <c r="Y179" s="1"/>
    </row>
    <row r="180" spans="25:25" x14ac:dyDescent="0.25">
      <c r="Y180" s="1"/>
    </row>
    <row r="181" spans="25:25" x14ac:dyDescent="0.25">
      <c r="Y181" s="1"/>
    </row>
    <row r="182" spans="25:25" x14ac:dyDescent="0.25">
      <c r="Y182" s="1"/>
    </row>
    <row r="183" spans="25:25" x14ac:dyDescent="0.25">
      <c r="Y183" s="1"/>
    </row>
    <row r="184" spans="25:25" x14ac:dyDescent="0.25">
      <c r="Y184" s="1"/>
    </row>
    <row r="185" spans="25:25" x14ac:dyDescent="0.25">
      <c r="Y185" s="1"/>
    </row>
    <row r="186" spans="25:25" x14ac:dyDescent="0.25">
      <c r="Y186" s="1"/>
    </row>
    <row r="187" spans="25:25" x14ac:dyDescent="0.25">
      <c r="Y187" s="1"/>
    </row>
    <row r="188" spans="25:25" x14ac:dyDescent="0.25">
      <c r="Y188" s="1"/>
    </row>
    <row r="189" spans="25:25" x14ac:dyDescent="0.25">
      <c r="Y189" s="1"/>
    </row>
    <row r="190" spans="25:25" x14ac:dyDescent="0.25">
      <c r="Y190" s="1"/>
    </row>
    <row r="191" spans="25:25" x14ac:dyDescent="0.25">
      <c r="Y191" s="1"/>
    </row>
    <row r="192" spans="25:25" x14ac:dyDescent="0.25">
      <c r="Y192" s="1"/>
    </row>
    <row r="193" spans="25:25" x14ac:dyDescent="0.25">
      <c r="Y193" s="1"/>
    </row>
    <row r="194" spans="25:25" x14ac:dyDescent="0.25">
      <c r="Y194" s="1"/>
    </row>
    <row r="195" spans="25:25" x14ac:dyDescent="0.25">
      <c r="Y195" s="1"/>
    </row>
    <row r="196" spans="25:25" x14ac:dyDescent="0.25">
      <c r="Y196" s="1"/>
    </row>
    <row r="197" spans="25:25" x14ac:dyDescent="0.25">
      <c r="Y197" s="1"/>
    </row>
    <row r="198" spans="25:25" x14ac:dyDescent="0.25">
      <c r="Y198" s="1"/>
    </row>
    <row r="199" spans="25:25" x14ac:dyDescent="0.25">
      <c r="Y199" s="1"/>
    </row>
    <row r="200" spans="25:25" x14ac:dyDescent="0.25">
      <c r="Y200" s="1"/>
    </row>
    <row r="201" spans="25:25" x14ac:dyDescent="0.25">
      <c r="Y201" s="1"/>
    </row>
    <row r="202" spans="25:25" x14ac:dyDescent="0.25">
      <c r="Y202" s="1"/>
    </row>
    <row r="203" spans="25:25" x14ac:dyDescent="0.25">
      <c r="Y203" s="1"/>
    </row>
    <row r="204" spans="25:25" x14ac:dyDescent="0.25">
      <c r="Y204" s="1"/>
    </row>
    <row r="205" spans="25:25" x14ac:dyDescent="0.25">
      <c r="Y205" s="1"/>
    </row>
    <row r="206" spans="25:25" x14ac:dyDescent="0.25">
      <c r="Y206" s="1"/>
    </row>
    <row r="207" spans="25:25" x14ac:dyDescent="0.25">
      <c r="Y207" s="1"/>
    </row>
    <row r="208" spans="25:25" x14ac:dyDescent="0.25">
      <c r="Y208" s="1"/>
    </row>
    <row r="209" spans="25:25" x14ac:dyDescent="0.25">
      <c r="Y209" s="1"/>
    </row>
    <row r="210" spans="25:25" x14ac:dyDescent="0.25">
      <c r="Y210" s="1"/>
    </row>
    <row r="211" spans="25:25" x14ac:dyDescent="0.25">
      <c r="Y211" s="1"/>
    </row>
    <row r="212" spans="25:25" x14ac:dyDescent="0.25">
      <c r="Y212" s="1"/>
    </row>
    <row r="213" spans="25:25" x14ac:dyDescent="0.25">
      <c r="Y213" s="1"/>
    </row>
    <row r="214" spans="25:25" x14ac:dyDescent="0.25">
      <c r="Y214" s="1"/>
    </row>
    <row r="215" spans="25:25" x14ac:dyDescent="0.25">
      <c r="Y215" s="1"/>
    </row>
    <row r="216" spans="25:25" x14ac:dyDescent="0.25">
      <c r="Y216" s="1"/>
    </row>
    <row r="217" spans="25:25" x14ac:dyDescent="0.25">
      <c r="Y217" s="1"/>
    </row>
    <row r="218" spans="25:25" x14ac:dyDescent="0.25">
      <c r="Y218" s="1"/>
    </row>
    <row r="219" spans="25:25" x14ac:dyDescent="0.25">
      <c r="Y219" s="1"/>
    </row>
    <row r="220" spans="25:25" x14ac:dyDescent="0.25">
      <c r="Y220" s="1"/>
    </row>
    <row r="221" spans="25:25" x14ac:dyDescent="0.25">
      <c r="Y221" s="1"/>
    </row>
    <row r="222" spans="25:25" x14ac:dyDescent="0.25">
      <c r="Y222" s="1"/>
    </row>
    <row r="223" spans="25:25" x14ac:dyDescent="0.25">
      <c r="Y223" s="1"/>
    </row>
    <row r="224" spans="25:25" x14ac:dyDescent="0.25">
      <c r="Y224" s="1"/>
    </row>
    <row r="225" spans="25:25" x14ac:dyDescent="0.25">
      <c r="Y225" s="1"/>
    </row>
    <row r="226" spans="25:25" x14ac:dyDescent="0.25">
      <c r="Y226" s="1"/>
    </row>
    <row r="227" spans="25:25" x14ac:dyDescent="0.25">
      <c r="Y227" s="1"/>
    </row>
    <row r="228" spans="25:25" x14ac:dyDescent="0.25">
      <c r="Y228" s="1"/>
    </row>
    <row r="229" spans="25:25" x14ac:dyDescent="0.25">
      <c r="Y229" s="1"/>
    </row>
    <row r="230" spans="25:25" x14ac:dyDescent="0.25">
      <c r="Y230" s="1"/>
    </row>
    <row r="231" spans="25:25" x14ac:dyDescent="0.25">
      <c r="Y231" s="1"/>
    </row>
    <row r="232" spans="25:25" x14ac:dyDescent="0.25">
      <c r="Y232" s="1"/>
    </row>
    <row r="233" spans="25:25" x14ac:dyDescent="0.25">
      <c r="Y233" s="1"/>
    </row>
    <row r="234" spans="25:25" x14ac:dyDescent="0.25">
      <c r="Y234" s="1"/>
    </row>
    <row r="235" spans="25:25" x14ac:dyDescent="0.25">
      <c r="Y235" s="1"/>
    </row>
    <row r="236" spans="25:25" x14ac:dyDescent="0.25">
      <c r="Y236" s="1"/>
    </row>
    <row r="237" spans="25:25" x14ac:dyDescent="0.25">
      <c r="Y237" s="1"/>
    </row>
    <row r="238" spans="25:25" x14ac:dyDescent="0.25">
      <c r="Y238" s="1"/>
    </row>
    <row r="239" spans="25:25" x14ac:dyDescent="0.25">
      <c r="Y239" s="1"/>
    </row>
    <row r="240" spans="25:25" x14ac:dyDescent="0.25">
      <c r="Y240" s="1"/>
    </row>
    <row r="241" spans="25:25" x14ac:dyDescent="0.25">
      <c r="Y241" s="1"/>
    </row>
    <row r="242" spans="25:25" x14ac:dyDescent="0.25">
      <c r="Y242" s="1"/>
    </row>
    <row r="243" spans="25:25" x14ac:dyDescent="0.25">
      <c r="Y243" s="1"/>
    </row>
    <row r="244" spans="25:25" x14ac:dyDescent="0.25">
      <c r="Y244" s="1"/>
    </row>
    <row r="245" spans="25:25" x14ac:dyDescent="0.25">
      <c r="Y245" s="1"/>
    </row>
    <row r="246" spans="25:25" x14ac:dyDescent="0.25">
      <c r="Y246" s="1"/>
    </row>
    <row r="247" spans="25:25" x14ac:dyDescent="0.25">
      <c r="Y247" s="1"/>
    </row>
    <row r="248" spans="25:25" x14ac:dyDescent="0.25">
      <c r="Y248" s="1"/>
    </row>
    <row r="249" spans="25:25" x14ac:dyDescent="0.25">
      <c r="Y249" s="1"/>
    </row>
    <row r="250" spans="25:25" x14ac:dyDescent="0.25">
      <c r="Y250" s="1"/>
    </row>
    <row r="251" spans="25:25" x14ac:dyDescent="0.25">
      <c r="Y251" s="1"/>
    </row>
    <row r="252" spans="25:25" x14ac:dyDescent="0.25">
      <c r="Y252" s="1"/>
    </row>
    <row r="253" spans="25:25" x14ac:dyDescent="0.25">
      <c r="Y253" s="1"/>
    </row>
    <row r="254" spans="25:25" x14ac:dyDescent="0.25">
      <c r="Y254" s="1"/>
    </row>
    <row r="255" spans="25:25" x14ac:dyDescent="0.25">
      <c r="Y255" s="1"/>
    </row>
    <row r="256" spans="25:25" x14ac:dyDescent="0.25">
      <c r="Y256" s="1"/>
    </row>
    <row r="257" spans="25:25" x14ac:dyDescent="0.25">
      <c r="Y257" s="1"/>
    </row>
    <row r="258" spans="25:25" x14ac:dyDescent="0.25">
      <c r="Y258" s="1"/>
    </row>
    <row r="259" spans="25:25" x14ac:dyDescent="0.25">
      <c r="Y259" s="1"/>
    </row>
    <row r="260" spans="25:25" x14ac:dyDescent="0.25">
      <c r="Y260" s="1"/>
    </row>
    <row r="261" spans="25:25" x14ac:dyDescent="0.25">
      <c r="Y261" s="1"/>
    </row>
    <row r="262" spans="25:25" x14ac:dyDescent="0.25">
      <c r="Y262" s="1"/>
    </row>
    <row r="263" spans="25:25" x14ac:dyDescent="0.25">
      <c r="Y263" s="1"/>
    </row>
    <row r="264" spans="25:25" x14ac:dyDescent="0.25">
      <c r="Y264" s="1"/>
    </row>
    <row r="265" spans="25:25" x14ac:dyDescent="0.25">
      <c r="Y265" s="1"/>
    </row>
    <row r="266" spans="25:25" x14ac:dyDescent="0.25">
      <c r="Y266" s="1"/>
    </row>
    <row r="267" spans="25:25" x14ac:dyDescent="0.25">
      <c r="Y267" s="1"/>
    </row>
    <row r="268" spans="25:25" x14ac:dyDescent="0.25">
      <c r="Y268" s="1"/>
    </row>
    <row r="269" spans="25:25" x14ac:dyDescent="0.25">
      <c r="Y269" s="1"/>
    </row>
    <row r="270" spans="25:25" x14ac:dyDescent="0.25">
      <c r="Y270" s="1"/>
    </row>
    <row r="271" spans="25:25" x14ac:dyDescent="0.25">
      <c r="Y271" s="1"/>
    </row>
    <row r="272" spans="25:25" x14ac:dyDescent="0.25">
      <c r="Y272" s="1"/>
    </row>
    <row r="273" spans="25:25" x14ac:dyDescent="0.25">
      <c r="Y273" s="1"/>
    </row>
    <row r="274" spans="25:25" x14ac:dyDescent="0.25">
      <c r="Y274" s="1"/>
    </row>
    <row r="275" spans="25:25" x14ac:dyDescent="0.25">
      <c r="Y275" s="1"/>
    </row>
    <row r="276" spans="25:25" x14ac:dyDescent="0.25">
      <c r="Y276" s="1"/>
    </row>
    <row r="277" spans="25:25" x14ac:dyDescent="0.25">
      <c r="Y277" s="1"/>
    </row>
    <row r="278" spans="25:25" x14ac:dyDescent="0.25">
      <c r="Y278" s="1"/>
    </row>
    <row r="279" spans="25:25" x14ac:dyDescent="0.25">
      <c r="Y279" s="1"/>
    </row>
    <row r="280" spans="25:25" x14ac:dyDescent="0.25">
      <c r="Y280" s="1"/>
    </row>
    <row r="281" spans="25:25" x14ac:dyDescent="0.25">
      <c r="Y281" s="1"/>
    </row>
    <row r="282" spans="25:25" x14ac:dyDescent="0.25">
      <c r="Y282" s="1"/>
    </row>
    <row r="283" spans="25:25" x14ac:dyDescent="0.25">
      <c r="Y283" s="1"/>
    </row>
    <row r="284" spans="25:25" x14ac:dyDescent="0.25">
      <c r="Y284" s="1"/>
    </row>
    <row r="285" spans="25:25" x14ac:dyDescent="0.25">
      <c r="Y285" s="1"/>
    </row>
    <row r="286" spans="25:25" x14ac:dyDescent="0.25">
      <c r="Y286" s="1"/>
    </row>
    <row r="287" spans="25:25" x14ac:dyDescent="0.25">
      <c r="Y287" s="1"/>
    </row>
    <row r="288" spans="25:25" x14ac:dyDescent="0.25">
      <c r="Y288" s="1"/>
    </row>
    <row r="289" spans="25:25" x14ac:dyDescent="0.25">
      <c r="Y289" s="1"/>
    </row>
    <row r="290" spans="25:25" x14ac:dyDescent="0.25">
      <c r="Y290" s="1"/>
    </row>
    <row r="291" spans="25:25" x14ac:dyDescent="0.25">
      <c r="Y291" s="1"/>
    </row>
    <row r="292" spans="25:25" x14ac:dyDescent="0.25">
      <c r="Y292" s="1"/>
    </row>
    <row r="293" spans="25:25" x14ac:dyDescent="0.25">
      <c r="Y293" s="1"/>
    </row>
    <row r="294" spans="25:25" x14ac:dyDescent="0.25">
      <c r="Y294" s="1"/>
    </row>
    <row r="295" spans="25:25" x14ac:dyDescent="0.25">
      <c r="Y295" s="1"/>
    </row>
    <row r="296" spans="25:25" x14ac:dyDescent="0.25">
      <c r="Y296" s="1"/>
    </row>
    <row r="297" spans="25:25" x14ac:dyDescent="0.25">
      <c r="Y297" s="1"/>
    </row>
    <row r="298" spans="25:25" x14ac:dyDescent="0.25">
      <c r="Y298" s="1"/>
    </row>
    <row r="299" spans="25:25" x14ac:dyDescent="0.25">
      <c r="Y299" s="1"/>
    </row>
    <row r="300" spans="25:25" x14ac:dyDescent="0.25">
      <c r="Y300" s="1"/>
    </row>
    <row r="301" spans="25:25" x14ac:dyDescent="0.25">
      <c r="Y301" s="1"/>
    </row>
    <row r="302" spans="25:25" x14ac:dyDescent="0.25">
      <c r="Y302" s="1"/>
    </row>
    <row r="303" spans="25:25" x14ac:dyDescent="0.25">
      <c r="Y303" s="1"/>
    </row>
    <row r="304" spans="25:25" x14ac:dyDescent="0.25">
      <c r="Y304" s="1"/>
    </row>
    <row r="305" spans="25:25" x14ac:dyDescent="0.25">
      <c r="Y305" s="1"/>
    </row>
    <row r="306" spans="25:25" x14ac:dyDescent="0.25">
      <c r="Y306" s="1"/>
    </row>
    <row r="307" spans="25:25" x14ac:dyDescent="0.25">
      <c r="Y307" s="1"/>
    </row>
    <row r="308" spans="25:25" x14ac:dyDescent="0.25">
      <c r="Y308" s="1"/>
    </row>
    <row r="309" spans="25:25" x14ac:dyDescent="0.25">
      <c r="Y309" s="1"/>
    </row>
    <row r="310" spans="25:25" x14ac:dyDescent="0.25">
      <c r="Y310" s="1"/>
    </row>
    <row r="311" spans="25:25" x14ac:dyDescent="0.25">
      <c r="Y311" s="1"/>
    </row>
    <row r="312" spans="25:25" x14ac:dyDescent="0.25">
      <c r="Y312" s="1"/>
    </row>
    <row r="313" spans="25:25" x14ac:dyDescent="0.25">
      <c r="Y313" s="1"/>
    </row>
    <row r="314" spans="25:25" x14ac:dyDescent="0.25">
      <c r="Y314" s="1"/>
    </row>
    <row r="315" spans="25:25" x14ac:dyDescent="0.25">
      <c r="Y315" s="1"/>
    </row>
    <row r="316" spans="25:25" x14ac:dyDescent="0.25">
      <c r="Y316" s="1"/>
    </row>
    <row r="317" spans="25:25" x14ac:dyDescent="0.25">
      <c r="Y317" s="1"/>
    </row>
    <row r="318" spans="25:25" x14ac:dyDescent="0.25">
      <c r="Y318" s="1"/>
    </row>
    <row r="319" spans="25:25" x14ac:dyDescent="0.25">
      <c r="Y319" s="1"/>
    </row>
    <row r="320" spans="25:25" x14ac:dyDescent="0.25">
      <c r="Y320" s="1"/>
    </row>
    <row r="321" spans="25:25" x14ac:dyDescent="0.25">
      <c r="Y321" s="1"/>
    </row>
    <row r="322" spans="25:25" x14ac:dyDescent="0.25">
      <c r="Y322" s="1"/>
    </row>
    <row r="323" spans="25:25" x14ac:dyDescent="0.25">
      <c r="Y323" s="1"/>
    </row>
    <row r="324" spans="25:25" x14ac:dyDescent="0.25">
      <c r="Y324" s="1"/>
    </row>
    <row r="325" spans="25:25" x14ac:dyDescent="0.25">
      <c r="Y325" s="1"/>
    </row>
    <row r="326" spans="25:25" x14ac:dyDescent="0.25">
      <c r="Y326" s="1"/>
    </row>
    <row r="327" spans="25:25" x14ac:dyDescent="0.25">
      <c r="Y327" s="1"/>
    </row>
    <row r="328" spans="25:25" x14ac:dyDescent="0.25">
      <c r="Y328" s="1"/>
    </row>
    <row r="329" spans="25:25" x14ac:dyDescent="0.25">
      <c r="Y329" s="1"/>
    </row>
    <row r="330" spans="25:25" x14ac:dyDescent="0.25">
      <c r="Y330" s="1"/>
    </row>
    <row r="331" spans="25:25" x14ac:dyDescent="0.25">
      <c r="Y331" s="1"/>
    </row>
    <row r="332" spans="25:25" x14ac:dyDescent="0.25">
      <c r="Y332" s="1"/>
    </row>
    <row r="333" spans="25:25" x14ac:dyDescent="0.25">
      <c r="Y333" s="1"/>
    </row>
    <row r="334" spans="25:25" x14ac:dyDescent="0.25">
      <c r="Y334" s="1"/>
    </row>
    <row r="335" spans="25:25" x14ac:dyDescent="0.25">
      <c r="Y335" s="1"/>
    </row>
    <row r="336" spans="25:25" x14ac:dyDescent="0.25">
      <c r="Y336" s="1"/>
    </row>
    <row r="337" spans="25:25" x14ac:dyDescent="0.25">
      <c r="Y337" s="1"/>
    </row>
    <row r="338" spans="25:25" x14ac:dyDescent="0.25">
      <c r="Y338" s="1"/>
    </row>
    <row r="339" spans="25:25" x14ac:dyDescent="0.25">
      <c r="Y339" s="1"/>
    </row>
    <row r="340" spans="25:25" x14ac:dyDescent="0.25">
      <c r="Y340" s="1"/>
    </row>
    <row r="341" spans="25:25" x14ac:dyDescent="0.25">
      <c r="Y341" s="1"/>
    </row>
    <row r="342" spans="25:25" x14ac:dyDescent="0.25">
      <c r="Y342" s="1"/>
    </row>
    <row r="343" spans="25:25" x14ac:dyDescent="0.25">
      <c r="Y343" s="1"/>
    </row>
    <row r="344" spans="25:25" x14ac:dyDescent="0.25">
      <c r="Y344" s="1"/>
    </row>
    <row r="345" spans="25:25" x14ac:dyDescent="0.25">
      <c r="Y345" s="1"/>
    </row>
    <row r="346" spans="25:25" x14ac:dyDescent="0.25">
      <c r="Y346" s="1"/>
    </row>
    <row r="347" spans="25:25" x14ac:dyDescent="0.25">
      <c r="Y347" s="1"/>
    </row>
    <row r="348" spans="25:25" x14ac:dyDescent="0.25">
      <c r="Y348" s="1"/>
    </row>
    <row r="349" spans="25:25" x14ac:dyDescent="0.25">
      <c r="Y349" s="1"/>
    </row>
    <row r="350" spans="25:25" x14ac:dyDescent="0.25">
      <c r="Y350" s="1"/>
    </row>
    <row r="351" spans="25:25" x14ac:dyDescent="0.25">
      <c r="Y351" s="1"/>
    </row>
    <row r="352" spans="25:25" x14ac:dyDescent="0.25">
      <c r="Y352" s="1"/>
    </row>
    <row r="353" spans="25:25" x14ac:dyDescent="0.25">
      <c r="Y353" s="1"/>
    </row>
    <row r="354" spans="25:25" x14ac:dyDescent="0.25">
      <c r="Y354" s="1"/>
    </row>
    <row r="355" spans="25:25" x14ac:dyDescent="0.25">
      <c r="Y355" s="1"/>
    </row>
    <row r="356" spans="25:25" x14ac:dyDescent="0.25">
      <c r="Y356" s="1"/>
    </row>
    <row r="357" spans="25:25" x14ac:dyDescent="0.25">
      <c r="Y357" s="1"/>
    </row>
    <row r="358" spans="25:25" x14ac:dyDescent="0.25">
      <c r="Y358" s="1"/>
    </row>
    <row r="359" spans="25:25" x14ac:dyDescent="0.25">
      <c r="Y359" s="1"/>
    </row>
    <row r="360" spans="25:25" x14ac:dyDescent="0.25">
      <c r="Y360" s="1"/>
    </row>
    <row r="361" spans="25:25" x14ac:dyDescent="0.25">
      <c r="Y361" s="1"/>
    </row>
    <row r="362" spans="25:25" x14ac:dyDescent="0.25">
      <c r="Y362" s="1"/>
    </row>
    <row r="363" spans="25:25" x14ac:dyDescent="0.25">
      <c r="Y363" s="1"/>
    </row>
    <row r="364" spans="25:25" x14ac:dyDescent="0.25">
      <c r="Y364" s="1"/>
    </row>
    <row r="365" spans="25:25" x14ac:dyDescent="0.25">
      <c r="Y365" s="1"/>
    </row>
    <row r="366" spans="25:25" x14ac:dyDescent="0.25">
      <c r="Y366" s="1"/>
    </row>
    <row r="367" spans="25:25" x14ac:dyDescent="0.25">
      <c r="Y367" s="1"/>
    </row>
    <row r="368" spans="25:25" x14ac:dyDescent="0.25">
      <c r="Y368" s="1"/>
    </row>
    <row r="369" spans="25:25" x14ac:dyDescent="0.25">
      <c r="Y369" s="1"/>
    </row>
    <row r="370" spans="25:25" x14ac:dyDescent="0.25">
      <c r="Y370" s="1"/>
    </row>
    <row r="371" spans="25:25" x14ac:dyDescent="0.25">
      <c r="Y371" s="1"/>
    </row>
    <row r="372" spans="25:25" x14ac:dyDescent="0.25">
      <c r="Y372" s="1"/>
    </row>
    <row r="373" spans="25:25" x14ac:dyDescent="0.25">
      <c r="Y373" s="1"/>
    </row>
    <row r="374" spans="25:25" x14ac:dyDescent="0.25">
      <c r="Y374" s="1"/>
    </row>
    <row r="375" spans="25:25" x14ac:dyDescent="0.25">
      <c r="Y375" s="1"/>
    </row>
    <row r="376" spans="25:25" x14ac:dyDescent="0.25">
      <c r="Y376" s="1"/>
    </row>
    <row r="377" spans="25:25" x14ac:dyDescent="0.25">
      <c r="Y377" s="1"/>
    </row>
    <row r="378" spans="25:25" x14ac:dyDescent="0.25">
      <c r="Y378" s="1"/>
    </row>
    <row r="379" spans="25:25" x14ac:dyDescent="0.25">
      <c r="Y379" s="1"/>
    </row>
    <row r="380" spans="25:25" x14ac:dyDescent="0.25">
      <c r="Y380" s="1"/>
    </row>
    <row r="381" spans="25:25" x14ac:dyDescent="0.25">
      <c r="Y381" s="1"/>
    </row>
    <row r="382" spans="25:25" x14ac:dyDescent="0.25">
      <c r="Y382" s="1"/>
    </row>
    <row r="383" spans="25:25" x14ac:dyDescent="0.25">
      <c r="Y383" s="1"/>
    </row>
    <row r="384" spans="25:25" x14ac:dyDescent="0.25">
      <c r="Y384" s="1"/>
    </row>
    <row r="385" spans="25:25" x14ac:dyDescent="0.25">
      <c r="Y385" s="1"/>
    </row>
    <row r="386" spans="25:25" x14ac:dyDescent="0.25">
      <c r="Y386" s="1"/>
    </row>
    <row r="387" spans="25:25" x14ac:dyDescent="0.25">
      <c r="Y387" s="1"/>
    </row>
    <row r="388" spans="25:25" x14ac:dyDescent="0.25">
      <c r="Y388" s="1"/>
    </row>
    <row r="389" spans="25:25" x14ac:dyDescent="0.25">
      <c r="Y389" s="1"/>
    </row>
    <row r="390" spans="25:25" x14ac:dyDescent="0.25">
      <c r="Y390" s="1"/>
    </row>
    <row r="391" spans="25:25" x14ac:dyDescent="0.25">
      <c r="Y391" s="1"/>
    </row>
    <row r="392" spans="25:25" x14ac:dyDescent="0.25">
      <c r="Y392" s="1"/>
    </row>
    <row r="393" spans="25:25" x14ac:dyDescent="0.25">
      <c r="Y393" s="1"/>
    </row>
    <row r="394" spans="25:25" x14ac:dyDescent="0.25">
      <c r="Y394" s="1"/>
    </row>
    <row r="395" spans="25:25" x14ac:dyDescent="0.25">
      <c r="Y395" s="1"/>
    </row>
    <row r="396" spans="25:25" x14ac:dyDescent="0.25">
      <c r="Y396" s="1"/>
    </row>
    <row r="397" spans="25:25" x14ac:dyDescent="0.25">
      <c r="Y397" s="1"/>
    </row>
    <row r="398" spans="25:25" x14ac:dyDescent="0.25">
      <c r="Y398" s="1"/>
    </row>
    <row r="399" spans="25:25" x14ac:dyDescent="0.25">
      <c r="Y399" s="1"/>
    </row>
    <row r="400" spans="25:25" x14ac:dyDescent="0.25">
      <c r="Y400" s="1"/>
    </row>
    <row r="401" spans="25:25" x14ac:dyDescent="0.25">
      <c r="Y401" s="1"/>
    </row>
    <row r="402" spans="25:25" x14ac:dyDescent="0.25">
      <c r="Y402" s="1"/>
    </row>
    <row r="403" spans="25:25" x14ac:dyDescent="0.25">
      <c r="Y403" s="1"/>
    </row>
    <row r="404" spans="25:25" x14ac:dyDescent="0.25">
      <c r="Y404" s="1"/>
    </row>
    <row r="405" spans="25:25" x14ac:dyDescent="0.25">
      <c r="Y405" s="1"/>
    </row>
    <row r="406" spans="25:25" x14ac:dyDescent="0.25">
      <c r="Y406" s="1"/>
    </row>
    <row r="407" spans="25:25" x14ac:dyDescent="0.25">
      <c r="Y407" s="1"/>
    </row>
    <row r="408" spans="25:25" x14ac:dyDescent="0.25">
      <c r="Y408" s="1"/>
    </row>
    <row r="409" spans="25:25" x14ac:dyDescent="0.25">
      <c r="Y409" s="1"/>
    </row>
    <row r="410" spans="25:25" x14ac:dyDescent="0.25">
      <c r="Y410" s="1"/>
    </row>
    <row r="411" spans="25:25" x14ac:dyDescent="0.25">
      <c r="Y411" s="1"/>
    </row>
    <row r="412" spans="25:25" x14ac:dyDescent="0.25">
      <c r="Y412" s="1"/>
    </row>
    <row r="413" spans="25:25" x14ac:dyDescent="0.25">
      <c r="Y413" s="1"/>
    </row>
    <row r="414" spans="25:25" x14ac:dyDescent="0.25">
      <c r="Y414" s="1"/>
    </row>
    <row r="415" spans="25:25" x14ac:dyDescent="0.25">
      <c r="Y415" s="1"/>
    </row>
    <row r="416" spans="25:25" x14ac:dyDescent="0.25">
      <c r="Y416" s="1"/>
    </row>
    <row r="417" spans="25:25" x14ac:dyDescent="0.25">
      <c r="Y417" s="1"/>
    </row>
    <row r="418" spans="25:25" x14ac:dyDescent="0.25">
      <c r="Y418" s="1"/>
    </row>
    <row r="419" spans="25:25" x14ac:dyDescent="0.25">
      <c r="Y419" s="1"/>
    </row>
    <row r="420" spans="25:25" x14ac:dyDescent="0.25">
      <c r="Y420" s="1"/>
    </row>
    <row r="421" spans="25:25" x14ac:dyDescent="0.25">
      <c r="Y421" s="1"/>
    </row>
    <row r="422" spans="25:25" x14ac:dyDescent="0.25">
      <c r="Y422" s="1"/>
    </row>
    <row r="423" spans="25:25" x14ac:dyDescent="0.25">
      <c r="Y423" s="1"/>
    </row>
    <row r="424" spans="25:25" x14ac:dyDescent="0.25">
      <c r="Y424" s="1"/>
    </row>
    <row r="425" spans="25:25" x14ac:dyDescent="0.25">
      <c r="Y425" s="1"/>
    </row>
    <row r="426" spans="25:25" x14ac:dyDescent="0.25">
      <c r="Y426" s="1"/>
    </row>
    <row r="427" spans="25:25" x14ac:dyDescent="0.25">
      <c r="Y427" s="1"/>
    </row>
    <row r="428" spans="25:25" x14ac:dyDescent="0.25">
      <c r="Y428" s="1"/>
    </row>
    <row r="429" spans="25:25" x14ac:dyDescent="0.25">
      <c r="Y429" s="1"/>
    </row>
    <row r="430" spans="25:25" x14ac:dyDescent="0.25">
      <c r="Y430" s="1"/>
    </row>
    <row r="431" spans="25:25" x14ac:dyDescent="0.25">
      <c r="Y431" s="1"/>
    </row>
    <row r="432" spans="25:25" x14ac:dyDescent="0.25">
      <c r="Y432" s="1"/>
    </row>
    <row r="433" spans="25:25" x14ac:dyDescent="0.25">
      <c r="Y433" s="1"/>
    </row>
    <row r="434" spans="25:25" x14ac:dyDescent="0.25">
      <c r="Y434" s="1"/>
    </row>
    <row r="435" spans="25:25" x14ac:dyDescent="0.25">
      <c r="Y435" s="1"/>
    </row>
    <row r="436" spans="25:25" x14ac:dyDescent="0.25">
      <c r="Y436" s="1"/>
    </row>
    <row r="437" spans="25:25" x14ac:dyDescent="0.25">
      <c r="Y437" s="1"/>
    </row>
    <row r="438" spans="25:25" x14ac:dyDescent="0.25">
      <c r="Y438" s="1"/>
    </row>
    <row r="439" spans="25:25" x14ac:dyDescent="0.25">
      <c r="Y439" s="1"/>
    </row>
    <row r="440" spans="25:25" x14ac:dyDescent="0.25">
      <c r="Y440" s="1"/>
    </row>
    <row r="441" spans="25:25" x14ac:dyDescent="0.25">
      <c r="Y441" s="1"/>
    </row>
    <row r="442" spans="25:25" x14ac:dyDescent="0.25">
      <c r="Y442" s="1"/>
    </row>
    <row r="443" spans="25:25" x14ac:dyDescent="0.25">
      <c r="Y443" s="1"/>
    </row>
    <row r="444" spans="25:25" x14ac:dyDescent="0.25">
      <c r="Y444" s="1"/>
    </row>
    <row r="445" spans="25:25" x14ac:dyDescent="0.25">
      <c r="Y445" s="1"/>
    </row>
    <row r="446" spans="25:25" x14ac:dyDescent="0.25">
      <c r="Y446" s="1"/>
    </row>
    <row r="447" spans="25:25" x14ac:dyDescent="0.25">
      <c r="Y447" s="1"/>
    </row>
    <row r="448" spans="25:25" x14ac:dyDescent="0.25">
      <c r="Y448" s="1"/>
    </row>
    <row r="449" spans="25:25" x14ac:dyDescent="0.25">
      <c r="Y449" s="1"/>
    </row>
    <row r="450" spans="25:25" x14ac:dyDescent="0.25">
      <c r="Y450" s="1"/>
    </row>
    <row r="451" spans="25:25" x14ac:dyDescent="0.25">
      <c r="Y451" s="1"/>
    </row>
    <row r="452" spans="25:25" x14ac:dyDescent="0.25">
      <c r="Y452" s="1"/>
    </row>
    <row r="453" spans="25:25" x14ac:dyDescent="0.25">
      <c r="Y453" s="1"/>
    </row>
    <row r="454" spans="25:25" x14ac:dyDescent="0.25">
      <c r="Y454" s="1"/>
    </row>
    <row r="455" spans="25:25" x14ac:dyDescent="0.25">
      <c r="Y455" s="1"/>
    </row>
    <row r="456" spans="25:25" x14ac:dyDescent="0.25">
      <c r="Y456" s="1"/>
    </row>
    <row r="457" spans="25:25" x14ac:dyDescent="0.25">
      <c r="Y457" s="1"/>
    </row>
    <row r="458" spans="25:25" x14ac:dyDescent="0.25">
      <c r="Y458" s="1"/>
    </row>
    <row r="459" spans="25:25" x14ac:dyDescent="0.25">
      <c r="Y459" s="1"/>
    </row>
    <row r="460" spans="25:25" x14ac:dyDescent="0.25">
      <c r="Y460" s="1"/>
    </row>
    <row r="461" spans="25:25" x14ac:dyDescent="0.25">
      <c r="Y461" s="1"/>
    </row>
    <row r="462" spans="25:25" x14ac:dyDescent="0.25">
      <c r="Y462" s="1"/>
    </row>
    <row r="463" spans="25:25" x14ac:dyDescent="0.25">
      <c r="Y463" s="1"/>
    </row>
    <row r="464" spans="25:25" x14ac:dyDescent="0.25">
      <c r="Y464" s="1"/>
    </row>
    <row r="465" spans="25:25" x14ac:dyDescent="0.25">
      <c r="Y465" s="1"/>
    </row>
    <row r="466" spans="25:25" x14ac:dyDescent="0.25">
      <c r="Y466" s="1"/>
    </row>
    <row r="467" spans="25:25" x14ac:dyDescent="0.25">
      <c r="Y467" s="1"/>
    </row>
    <row r="468" spans="25:25" x14ac:dyDescent="0.25">
      <c r="Y468" s="1"/>
    </row>
    <row r="469" spans="25:25" x14ac:dyDescent="0.25">
      <c r="Y469" s="1"/>
    </row>
    <row r="470" spans="25:25" x14ac:dyDescent="0.25">
      <c r="Y470" s="1"/>
    </row>
    <row r="471" spans="25:25" x14ac:dyDescent="0.25">
      <c r="Y471" s="1"/>
    </row>
    <row r="472" spans="25:25" x14ac:dyDescent="0.25">
      <c r="Y472" s="1"/>
    </row>
    <row r="473" spans="25:25" x14ac:dyDescent="0.25">
      <c r="Y473" s="1"/>
    </row>
    <row r="474" spans="25:25" x14ac:dyDescent="0.25">
      <c r="Y474" s="1"/>
    </row>
    <row r="475" spans="25:25" x14ac:dyDescent="0.25">
      <c r="Y475" s="1"/>
    </row>
    <row r="476" spans="25:25" x14ac:dyDescent="0.25">
      <c r="Y476" s="1"/>
    </row>
    <row r="477" spans="25:25" x14ac:dyDescent="0.25">
      <c r="Y477" s="1"/>
    </row>
    <row r="478" spans="25:25" x14ac:dyDescent="0.25">
      <c r="Y478" s="1"/>
    </row>
    <row r="479" spans="25:25" x14ac:dyDescent="0.25">
      <c r="Y479" s="1"/>
    </row>
    <row r="480" spans="25:25" x14ac:dyDescent="0.25">
      <c r="Y480" s="1"/>
    </row>
    <row r="481" spans="25:25" x14ac:dyDescent="0.25">
      <c r="Y481" s="1"/>
    </row>
    <row r="482" spans="25:25" x14ac:dyDescent="0.25">
      <c r="Y482" s="1"/>
    </row>
    <row r="483" spans="25:25" x14ac:dyDescent="0.25">
      <c r="Y483" s="1"/>
    </row>
    <row r="484" spans="25:25" x14ac:dyDescent="0.25">
      <c r="Y484" s="1"/>
    </row>
    <row r="485" spans="25:25" x14ac:dyDescent="0.25">
      <c r="Y485" s="1"/>
    </row>
    <row r="486" spans="25:25" x14ac:dyDescent="0.25">
      <c r="Y486" s="1"/>
    </row>
    <row r="487" spans="25:25" x14ac:dyDescent="0.25">
      <c r="Y487" s="1"/>
    </row>
    <row r="488" spans="25:25" x14ac:dyDescent="0.25">
      <c r="Y488" s="1"/>
    </row>
    <row r="489" spans="25:25" x14ac:dyDescent="0.25">
      <c r="Y489" s="1"/>
    </row>
    <row r="490" spans="25:25" x14ac:dyDescent="0.25">
      <c r="Y490" s="1"/>
    </row>
    <row r="491" spans="25:25" x14ac:dyDescent="0.25">
      <c r="Y491" s="1"/>
    </row>
    <row r="492" spans="25:25" x14ac:dyDescent="0.25">
      <c r="Y492" s="1"/>
    </row>
    <row r="493" spans="25:25" x14ac:dyDescent="0.25">
      <c r="Y493" s="1"/>
    </row>
    <row r="494" spans="25:25" x14ac:dyDescent="0.25">
      <c r="Y494" s="1"/>
    </row>
    <row r="495" spans="25:25" x14ac:dyDescent="0.25">
      <c r="Y495" s="1"/>
    </row>
    <row r="496" spans="25:25" x14ac:dyDescent="0.25">
      <c r="Y496" s="1"/>
    </row>
    <row r="497" spans="25:25" x14ac:dyDescent="0.25">
      <c r="Y497" s="1"/>
    </row>
    <row r="498" spans="25:25" x14ac:dyDescent="0.25">
      <c r="Y498" s="1"/>
    </row>
    <row r="499" spans="25:25" x14ac:dyDescent="0.25">
      <c r="Y499" s="1"/>
    </row>
    <row r="500" spans="25:25" x14ac:dyDescent="0.25">
      <c r="Y500" s="1"/>
    </row>
    <row r="501" spans="25:25" x14ac:dyDescent="0.25">
      <c r="Y501" s="1"/>
    </row>
    <row r="502" spans="25:25" x14ac:dyDescent="0.25">
      <c r="Y502" s="1"/>
    </row>
    <row r="503" spans="25:25" x14ac:dyDescent="0.25">
      <c r="Y503" s="1"/>
    </row>
    <row r="504" spans="25:25" x14ac:dyDescent="0.25">
      <c r="Y504" s="1"/>
    </row>
    <row r="505" spans="25:25" x14ac:dyDescent="0.25">
      <c r="Y505" s="1"/>
    </row>
    <row r="506" spans="25:25" x14ac:dyDescent="0.25">
      <c r="Y506" s="1"/>
    </row>
    <row r="507" spans="25:25" x14ac:dyDescent="0.25">
      <c r="Y507" s="1"/>
    </row>
    <row r="508" spans="25:25" x14ac:dyDescent="0.25">
      <c r="Y508" s="1"/>
    </row>
    <row r="509" spans="25:25" x14ac:dyDescent="0.25">
      <c r="Y509" s="1"/>
    </row>
    <row r="510" spans="25:25" x14ac:dyDescent="0.25">
      <c r="Y510" s="1"/>
    </row>
    <row r="511" spans="25:25" x14ac:dyDescent="0.25">
      <c r="Y511" s="1"/>
    </row>
    <row r="512" spans="25:25" x14ac:dyDescent="0.25">
      <c r="Y512" s="1"/>
    </row>
    <row r="513" spans="25:25" x14ac:dyDescent="0.25">
      <c r="Y513" s="1"/>
    </row>
    <row r="514" spans="25:25" x14ac:dyDescent="0.25">
      <c r="Y514" s="1"/>
    </row>
    <row r="515" spans="25:25" x14ac:dyDescent="0.25">
      <c r="Y515" s="1"/>
    </row>
    <row r="516" spans="25:25" x14ac:dyDescent="0.25">
      <c r="Y516" s="1"/>
    </row>
    <row r="517" spans="25:25" x14ac:dyDescent="0.25">
      <c r="Y517" s="1"/>
    </row>
    <row r="518" spans="25:25" x14ac:dyDescent="0.25">
      <c r="Y518" s="1"/>
    </row>
    <row r="519" spans="25:25" x14ac:dyDescent="0.25">
      <c r="Y519" s="1"/>
    </row>
    <row r="520" spans="25:25" x14ac:dyDescent="0.25">
      <c r="Y520" s="1"/>
    </row>
    <row r="521" spans="25:25" x14ac:dyDescent="0.25">
      <c r="Y521" s="1"/>
    </row>
    <row r="522" spans="25:25" x14ac:dyDescent="0.25">
      <c r="Y522" s="1"/>
    </row>
    <row r="523" spans="25:25" x14ac:dyDescent="0.25">
      <c r="Y523" s="1"/>
    </row>
    <row r="524" spans="25:25" x14ac:dyDescent="0.25">
      <c r="Y524" s="1"/>
    </row>
    <row r="525" spans="25:25" x14ac:dyDescent="0.25">
      <c r="Y525" s="1"/>
    </row>
    <row r="526" spans="25:25" x14ac:dyDescent="0.25">
      <c r="Y526" s="1"/>
    </row>
    <row r="527" spans="25:25" x14ac:dyDescent="0.25">
      <c r="Y527" s="1"/>
    </row>
    <row r="528" spans="25:25" x14ac:dyDescent="0.25">
      <c r="Y528" s="1"/>
    </row>
    <row r="529" spans="25:25" x14ac:dyDescent="0.25">
      <c r="Y529" s="1"/>
    </row>
    <row r="530" spans="25:25" x14ac:dyDescent="0.25">
      <c r="Y530" s="1"/>
    </row>
    <row r="531" spans="25:25" x14ac:dyDescent="0.25">
      <c r="Y531" s="1"/>
    </row>
    <row r="532" spans="25:25" x14ac:dyDescent="0.25">
      <c r="Y532" s="1"/>
    </row>
    <row r="533" spans="25:25" x14ac:dyDescent="0.25">
      <c r="Y533" s="1"/>
    </row>
    <row r="534" spans="25:25" x14ac:dyDescent="0.25">
      <c r="Y534" s="1"/>
    </row>
    <row r="535" spans="25:25" x14ac:dyDescent="0.25">
      <c r="Y535" s="1"/>
    </row>
    <row r="536" spans="25:25" x14ac:dyDescent="0.25">
      <c r="Y536" s="1"/>
    </row>
    <row r="537" spans="25:25" x14ac:dyDescent="0.25">
      <c r="Y537" s="1"/>
    </row>
    <row r="538" spans="25:25" x14ac:dyDescent="0.25">
      <c r="Y538" s="1"/>
    </row>
    <row r="539" spans="25:25" x14ac:dyDescent="0.25">
      <c r="Y539" s="1"/>
    </row>
    <row r="540" spans="25:25" x14ac:dyDescent="0.25">
      <c r="Y540" s="1"/>
    </row>
    <row r="541" spans="25:25" x14ac:dyDescent="0.25">
      <c r="Y541" s="1"/>
    </row>
    <row r="542" spans="25:25" x14ac:dyDescent="0.25">
      <c r="Y542" s="1"/>
    </row>
    <row r="543" spans="25:25" x14ac:dyDescent="0.25">
      <c r="Y543" s="1"/>
    </row>
    <row r="544" spans="25:25" x14ac:dyDescent="0.25">
      <c r="Y544" s="1"/>
    </row>
    <row r="545" spans="25:25" x14ac:dyDescent="0.25">
      <c r="Y545" s="1"/>
    </row>
    <row r="546" spans="25:25" x14ac:dyDescent="0.25">
      <c r="Y546" s="1"/>
    </row>
    <row r="547" spans="25:25" x14ac:dyDescent="0.25">
      <c r="Y547" s="1"/>
    </row>
    <row r="548" spans="25:25" x14ac:dyDescent="0.25">
      <c r="Y548" s="1"/>
    </row>
    <row r="549" spans="25:25" x14ac:dyDescent="0.25">
      <c r="Y549" s="1"/>
    </row>
    <row r="550" spans="25:25" x14ac:dyDescent="0.25">
      <c r="Y550" s="1"/>
    </row>
    <row r="551" spans="25:25" x14ac:dyDescent="0.25">
      <c r="Y551" s="1"/>
    </row>
    <row r="552" spans="25:25" x14ac:dyDescent="0.25">
      <c r="Y552" s="1"/>
    </row>
    <row r="553" spans="25:25" x14ac:dyDescent="0.25">
      <c r="Y553" s="1"/>
    </row>
    <row r="554" spans="25:25" x14ac:dyDescent="0.25">
      <c r="Y554" s="1"/>
    </row>
    <row r="555" spans="25:25" x14ac:dyDescent="0.25">
      <c r="Y555" s="1"/>
    </row>
    <row r="556" spans="25:25" x14ac:dyDescent="0.25">
      <c r="Y556" s="1"/>
    </row>
    <row r="557" spans="25:25" x14ac:dyDescent="0.25">
      <c r="Y557" s="1"/>
    </row>
    <row r="558" spans="25:25" x14ac:dyDescent="0.25">
      <c r="Y558" s="1"/>
    </row>
    <row r="559" spans="25:25" x14ac:dyDescent="0.25">
      <c r="Y559" s="1"/>
    </row>
    <row r="560" spans="25:25" x14ac:dyDescent="0.25">
      <c r="Y560" s="1"/>
    </row>
    <row r="561" spans="25:25" x14ac:dyDescent="0.25">
      <c r="Y561" s="1"/>
    </row>
    <row r="562" spans="25:25" x14ac:dyDescent="0.25">
      <c r="Y562" s="1"/>
    </row>
    <row r="563" spans="25:25" x14ac:dyDescent="0.25">
      <c r="Y563" s="1"/>
    </row>
    <row r="564" spans="25:25" x14ac:dyDescent="0.25">
      <c r="Y564" s="1"/>
    </row>
    <row r="565" spans="25:25" x14ac:dyDescent="0.25">
      <c r="Y565" s="1"/>
    </row>
    <row r="566" spans="25:25" x14ac:dyDescent="0.25">
      <c r="Y566" s="1"/>
    </row>
    <row r="567" spans="25:25" x14ac:dyDescent="0.25">
      <c r="Y567" s="1"/>
    </row>
    <row r="568" spans="25:25" x14ac:dyDescent="0.25">
      <c r="Y568" s="1"/>
    </row>
    <row r="569" spans="25:25" x14ac:dyDescent="0.25">
      <c r="Y569" s="1"/>
    </row>
    <row r="570" spans="25:25" x14ac:dyDescent="0.25">
      <c r="Y570" s="1"/>
    </row>
    <row r="571" spans="25:25" x14ac:dyDescent="0.25">
      <c r="Y571" s="1"/>
    </row>
    <row r="572" spans="25:25" x14ac:dyDescent="0.25">
      <c r="Y572" s="1"/>
    </row>
    <row r="573" spans="25:25" x14ac:dyDescent="0.25">
      <c r="Y573" s="1"/>
    </row>
    <row r="574" spans="25:25" x14ac:dyDescent="0.25">
      <c r="Y574" s="1"/>
    </row>
    <row r="575" spans="25:25" x14ac:dyDescent="0.25">
      <c r="Y575" s="1"/>
    </row>
    <row r="576" spans="25:25" x14ac:dyDescent="0.25">
      <c r="Y576" s="1"/>
    </row>
    <row r="577" spans="25:25" x14ac:dyDescent="0.25">
      <c r="Y577" s="1"/>
    </row>
    <row r="578" spans="25:25" x14ac:dyDescent="0.25">
      <c r="Y578" s="1"/>
    </row>
    <row r="579" spans="25:25" x14ac:dyDescent="0.25">
      <c r="Y579" s="1"/>
    </row>
    <row r="580" spans="25:25" x14ac:dyDescent="0.25">
      <c r="Y580" s="1"/>
    </row>
    <row r="581" spans="25:25" x14ac:dyDescent="0.25">
      <c r="Y581" s="1"/>
    </row>
    <row r="582" spans="25:25" x14ac:dyDescent="0.25">
      <c r="Y582" s="1"/>
    </row>
    <row r="583" spans="25:25" x14ac:dyDescent="0.25">
      <c r="Y583" s="1"/>
    </row>
    <row r="584" spans="25:25" x14ac:dyDescent="0.25">
      <c r="Y584" s="1"/>
    </row>
    <row r="585" spans="25:25" x14ac:dyDescent="0.25">
      <c r="Y585" s="1"/>
    </row>
    <row r="586" spans="25:25" x14ac:dyDescent="0.25">
      <c r="Y586" s="1"/>
    </row>
    <row r="587" spans="25:25" x14ac:dyDescent="0.25">
      <c r="Y587" s="1"/>
    </row>
    <row r="588" spans="25:25" x14ac:dyDescent="0.25">
      <c r="Y588" s="1"/>
    </row>
    <row r="589" spans="25:25" x14ac:dyDescent="0.25">
      <c r="Y589" s="1"/>
    </row>
    <row r="590" spans="25:25" x14ac:dyDescent="0.25">
      <c r="Y590" s="1"/>
    </row>
    <row r="591" spans="25:25" x14ac:dyDescent="0.25">
      <c r="Y591" s="1"/>
    </row>
    <row r="592" spans="25:25" x14ac:dyDescent="0.25">
      <c r="Y592" s="1"/>
    </row>
    <row r="593" spans="25:25" x14ac:dyDescent="0.25">
      <c r="Y593" s="1"/>
    </row>
    <row r="594" spans="25:25" x14ac:dyDescent="0.25">
      <c r="Y594" s="1"/>
    </row>
    <row r="595" spans="25:25" x14ac:dyDescent="0.25">
      <c r="Y595" s="1"/>
    </row>
    <row r="596" spans="25:25" x14ac:dyDescent="0.25">
      <c r="Y596" s="1"/>
    </row>
    <row r="597" spans="25:25" x14ac:dyDescent="0.25">
      <c r="Y597" s="1"/>
    </row>
    <row r="598" spans="25:25" x14ac:dyDescent="0.25">
      <c r="Y598" s="1"/>
    </row>
    <row r="599" spans="25:25" x14ac:dyDescent="0.25">
      <c r="Y599" s="1"/>
    </row>
    <row r="600" spans="25:25" x14ac:dyDescent="0.25">
      <c r="Y600" s="1"/>
    </row>
    <row r="601" spans="25:25" x14ac:dyDescent="0.25">
      <c r="Y601" s="1"/>
    </row>
    <row r="602" spans="25:25" x14ac:dyDescent="0.25">
      <c r="Y602" s="1"/>
    </row>
    <row r="603" spans="25:25" x14ac:dyDescent="0.25">
      <c r="Y603" s="1"/>
    </row>
    <row r="604" spans="25:25" x14ac:dyDescent="0.25">
      <c r="Y604" s="1"/>
    </row>
    <row r="605" spans="25:25" x14ac:dyDescent="0.25">
      <c r="Y605" s="1"/>
    </row>
    <row r="606" spans="25:25" x14ac:dyDescent="0.25">
      <c r="Y606" s="1"/>
    </row>
    <row r="607" spans="25:25" x14ac:dyDescent="0.25">
      <c r="Y607" s="1"/>
    </row>
    <row r="608" spans="25:25" x14ac:dyDescent="0.25">
      <c r="Y608" s="1"/>
    </row>
    <row r="609" spans="25:25" x14ac:dyDescent="0.25">
      <c r="Y609" s="1"/>
    </row>
    <row r="610" spans="25:25" x14ac:dyDescent="0.25">
      <c r="Y610" s="1"/>
    </row>
    <row r="611" spans="25:25" x14ac:dyDescent="0.25">
      <c r="Y611" s="1"/>
    </row>
    <row r="612" spans="25:25" x14ac:dyDescent="0.25">
      <c r="Y612" s="1"/>
    </row>
    <row r="613" spans="25:25" x14ac:dyDescent="0.25">
      <c r="Y613" s="1"/>
    </row>
    <row r="614" spans="25:25" x14ac:dyDescent="0.25">
      <c r="Y614" s="1"/>
    </row>
    <row r="615" spans="25:25" x14ac:dyDescent="0.25">
      <c r="Y615" s="1"/>
    </row>
    <row r="616" spans="25:25" x14ac:dyDescent="0.25">
      <c r="Y616" s="1"/>
    </row>
    <row r="617" spans="25:25" x14ac:dyDescent="0.25">
      <c r="Y617" s="1"/>
    </row>
    <row r="618" spans="25:25" x14ac:dyDescent="0.25">
      <c r="Y618" s="1"/>
    </row>
    <row r="619" spans="25:25" x14ac:dyDescent="0.25">
      <c r="Y619" s="1"/>
    </row>
    <row r="620" spans="25:25" x14ac:dyDescent="0.25">
      <c r="Y620" s="1"/>
    </row>
    <row r="621" spans="25:25" x14ac:dyDescent="0.25">
      <c r="Y621" s="1"/>
    </row>
    <row r="622" spans="25:25" x14ac:dyDescent="0.25">
      <c r="Y622" s="1"/>
    </row>
    <row r="623" spans="25:25" x14ac:dyDescent="0.25">
      <c r="Y623" s="1"/>
    </row>
    <row r="624" spans="25:25" x14ac:dyDescent="0.25">
      <c r="Y624" s="1"/>
    </row>
    <row r="625" spans="25:25" x14ac:dyDescent="0.25">
      <c r="Y625" s="1"/>
    </row>
    <row r="626" spans="25:25" x14ac:dyDescent="0.25">
      <c r="Y626" s="1"/>
    </row>
    <row r="627" spans="25:25" x14ac:dyDescent="0.25">
      <c r="Y627" s="1"/>
    </row>
    <row r="628" spans="25:25" x14ac:dyDescent="0.25">
      <c r="Y628" s="1"/>
    </row>
    <row r="629" spans="25:25" x14ac:dyDescent="0.25">
      <c r="Y629" s="1"/>
    </row>
    <row r="630" spans="25:25" x14ac:dyDescent="0.25">
      <c r="Y630" s="1"/>
    </row>
    <row r="631" spans="25:25" x14ac:dyDescent="0.25">
      <c r="Y631" s="1"/>
    </row>
    <row r="632" spans="25:25" x14ac:dyDescent="0.25">
      <c r="Y632" s="1"/>
    </row>
    <row r="633" spans="25:25" x14ac:dyDescent="0.25">
      <c r="Y633" s="1"/>
    </row>
    <row r="634" spans="25:25" x14ac:dyDescent="0.25">
      <c r="Y634" s="1"/>
    </row>
    <row r="635" spans="25:25" x14ac:dyDescent="0.25">
      <c r="Y635" s="1"/>
    </row>
    <row r="636" spans="25:25" x14ac:dyDescent="0.25">
      <c r="Y636" s="1"/>
    </row>
    <row r="637" spans="25:25" x14ac:dyDescent="0.25">
      <c r="Y637" s="1"/>
    </row>
    <row r="638" spans="25:25" x14ac:dyDescent="0.25">
      <c r="Y638" s="1"/>
    </row>
    <row r="639" spans="25:25" x14ac:dyDescent="0.25">
      <c r="Y639" s="1"/>
    </row>
    <row r="640" spans="25:25" x14ac:dyDescent="0.25">
      <c r="Y640" s="1"/>
    </row>
    <row r="641" spans="25:25" x14ac:dyDescent="0.25">
      <c r="Y641" s="1"/>
    </row>
    <row r="642" spans="25:25" x14ac:dyDescent="0.25">
      <c r="Y642" s="1"/>
    </row>
    <row r="643" spans="25:25" x14ac:dyDescent="0.25">
      <c r="Y643" s="1"/>
    </row>
    <row r="644" spans="25:25" x14ac:dyDescent="0.25">
      <c r="Y644" s="1"/>
    </row>
    <row r="645" spans="25:25" x14ac:dyDescent="0.25">
      <c r="Y645" s="1"/>
    </row>
    <row r="646" spans="25:25" x14ac:dyDescent="0.25">
      <c r="Y646" s="1"/>
    </row>
    <row r="647" spans="25:25" x14ac:dyDescent="0.25">
      <c r="Y647" s="1"/>
    </row>
    <row r="648" spans="25:25" x14ac:dyDescent="0.25">
      <c r="Y648" s="1"/>
    </row>
    <row r="649" spans="25:25" x14ac:dyDescent="0.25">
      <c r="Y649" s="1"/>
    </row>
    <row r="650" spans="25:25" x14ac:dyDescent="0.25">
      <c r="Y650" s="1"/>
    </row>
    <row r="651" spans="25:25" x14ac:dyDescent="0.25">
      <c r="Y651" s="1"/>
    </row>
    <row r="652" spans="25:25" x14ac:dyDescent="0.25">
      <c r="Y652" s="1"/>
    </row>
    <row r="653" spans="25:25" x14ac:dyDescent="0.25">
      <c r="Y653" s="1"/>
    </row>
    <row r="654" spans="25:25" x14ac:dyDescent="0.25">
      <c r="Y654" s="1"/>
    </row>
    <row r="655" spans="25:25" x14ac:dyDescent="0.25">
      <c r="Y655" s="1"/>
    </row>
    <row r="656" spans="25:25" x14ac:dyDescent="0.25">
      <c r="Y656" s="1"/>
    </row>
    <row r="657" spans="25:25" x14ac:dyDescent="0.25">
      <c r="Y657" s="1"/>
    </row>
    <row r="658" spans="25:25" x14ac:dyDescent="0.25">
      <c r="Y658" s="1"/>
    </row>
    <row r="659" spans="25:25" x14ac:dyDescent="0.25">
      <c r="Y659" s="1"/>
    </row>
    <row r="660" spans="25:25" x14ac:dyDescent="0.25">
      <c r="Y660" s="1"/>
    </row>
    <row r="661" spans="25:25" x14ac:dyDescent="0.25">
      <c r="Y661" s="1"/>
    </row>
    <row r="662" spans="25:25" x14ac:dyDescent="0.25">
      <c r="Y662" s="1"/>
    </row>
    <row r="663" spans="25:25" x14ac:dyDescent="0.25">
      <c r="Y663" s="1"/>
    </row>
    <row r="664" spans="25:25" x14ac:dyDescent="0.25">
      <c r="Y664" s="1"/>
    </row>
    <row r="665" spans="25:25" x14ac:dyDescent="0.25">
      <c r="Y665" s="1"/>
    </row>
    <row r="666" spans="25:25" x14ac:dyDescent="0.25">
      <c r="Y666" s="1"/>
    </row>
    <row r="667" spans="25:25" x14ac:dyDescent="0.25">
      <c r="Y667" s="1"/>
    </row>
    <row r="668" spans="25:25" x14ac:dyDescent="0.25">
      <c r="Y668" s="1"/>
    </row>
    <row r="669" spans="25:25" x14ac:dyDescent="0.25">
      <c r="Y669" s="1"/>
    </row>
    <row r="670" spans="25:25" x14ac:dyDescent="0.25">
      <c r="Y670" s="1"/>
    </row>
    <row r="671" spans="25:25" x14ac:dyDescent="0.25">
      <c r="Y671" s="1"/>
    </row>
    <row r="672" spans="25:25" x14ac:dyDescent="0.25">
      <c r="Y672" s="1"/>
    </row>
    <row r="673" spans="25:25" x14ac:dyDescent="0.25">
      <c r="Y673" s="1"/>
    </row>
    <row r="674" spans="25:25" x14ac:dyDescent="0.25">
      <c r="Y674" s="1"/>
    </row>
    <row r="675" spans="25:25" x14ac:dyDescent="0.25">
      <c r="Y675" s="1"/>
    </row>
    <row r="676" spans="25:25" x14ac:dyDescent="0.25">
      <c r="Y676" s="1"/>
    </row>
    <row r="677" spans="25:25" x14ac:dyDescent="0.25">
      <c r="Y677" s="1"/>
    </row>
    <row r="678" spans="25:25" x14ac:dyDescent="0.25">
      <c r="Y678" s="1"/>
    </row>
    <row r="679" spans="25:25" x14ac:dyDescent="0.25">
      <c r="Y679" s="1"/>
    </row>
    <row r="680" spans="25:25" x14ac:dyDescent="0.25">
      <c r="Y680" s="1"/>
    </row>
    <row r="681" spans="25:25" x14ac:dyDescent="0.25">
      <c r="Y681" s="1"/>
    </row>
    <row r="682" spans="25:25" x14ac:dyDescent="0.25">
      <c r="Y682" s="1"/>
    </row>
    <row r="683" spans="25:25" x14ac:dyDescent="0.25">
      <c r="Y683" s="1"/>
    </row>
    <row r="684" spans="25:25" x14ac:dyDescent="0.25">
      <c r="Y684" s="1"/>
    </row>
    <row r="685" spans="25:25" x14ac:dyDescent="0.25">
      <c r="Y685" s="1"/>
    </row>
    <row r="686" spans="25:25" x14ac:dyDescent="0.25">
      <c r="Y686" s="1"/>
    </row>
    <row r="687" spans="25:25" x14ac:dyDescent="0.25">
      <c r="Y687" s="1"/>
    </row>
    <row r="688" spans="25:25" x14ac:dyDescent="0.25">
      <c r="Y688" s="1"/>
    </row>
    <row r="689" spans="25:25" x14ac:dyDescent="0.25">
      <c r="Y689" s="1"/>
    </row>
    <row r="690" spans="25:25" x14ac:dyDescent="0.25">
      <c r="Y690" s="1"/>
    </row>
    <row r="691" spans="25:25" x14ac:dyDescent="0.25">
      <c r="Y691" s="1"/>
    </row>
    <row r="692" spans="25:25" x14ac:dyDescent="0.25">
      <c r="Y692" s="1"/>
    </row>
    <row r="693" spans="25:25" x14ac:dyDescent="0.25">
      <c r="Y693" s="1"/>
    </row>
    <row r="694" spans="25:25" x14ac:dyDescent="0.25">
      <c r="Y694" s="1"/>
    </row>
    <row r="695" spans="25:25" x14ac:dyDescent="0.25">
      <c r="Y695" s="1"/>
    </row>
    <row r="696" spans="25:25" x14ac:dyDescent="0.25">
      <c r="Y696" s="1"/>
    </row>
    <row r="697" spans="25:25" x14ac:dyDescent="0.25">
      <c r="Y697" s="1"/>
    </row>
    <row r="698" spans="25:25" x14ac:dyDescent="0.25">
      <c r="Y698" s="1"/>
    </row>
    <row r="699" spans="25:25" x14ac:dyDescent="0.25">
      <c r="Y699" s="1"/>
    </row>
  </sheetData>
  <mergeCells count="13">
    <mergeCell ref="AF109:AF110"/>
    <mergeCell ref="AF114:AF115"/>
    <mergeCell ref="AF112:AF113"/>
    <mergeCell ref="AC1:AE3"/>
    <mergeCell ref="A3:AB3"/>
    <mergeCell ref="A2:AB2"/>
    <mergeCell ref="A1:AB1"/>
    <mergeCell ref="AF6:AH6"/>
    <mergeCell ref="A6:J6"/>
    <mergeCell ref="AC6:AE6"/>
    <mergeCell ref="K6:W6"/>
    <mergeCell ref="X6:Y6"/>
    <mergeCell ref="Z6:AB6"/>
  </mergeCells>
  <phoneticPr fontId="10" type="noConversion"/>
  <pageMargins left="0.7" right="0.7" top="0.75" bottom="0.75" header="0.3" footer="0.3"/>
  <pageSetup paperSize="8" scale="5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9AA2-B17E-4396-99DE-3C5198879E43}">
  <dimension ref="A1:Z75"/>
  <sheetViews>
    <sheetView zoomScale="70" zoomScaleNormal="70" zoomScaleSheetLayoutView="55" workbookViewId="0">
      <selection activeCell="R10" sqref="R10"/>
    </sheetView>
  </sheetViews>
  <sheetFormatPr defaultColWidth="9.44140625" defaultRowHeight="13.2" x14ac:dyDescent="0.25"/>
  <cols>
    <col min="1" max="1" width="9.5546875" style="62" customWidth="1"/>
    <col min="2" max="2" width="11.5546875" style="62" customWidth="1"/>
    <col min="3" max="3" width="10.44140625" style="62" bestFit="1" customWidth="1"/>
    <col min="4" max="4" width="9.5546875" style="62" customWidth="1"/>
    <col min="5" max="5" width="21.44140625" style="62" customWidth="1"/>
    <col min="6" max="6" width="11.44140625" style="62" customWidth="1"/>
    <col min="7" max="7" width="10.5546875" style="62" customWidth="1"/>
    <col min="8" max="8" width="8.5546875" style="62" customWidth="1"/>
    <col min="9" max="11" width="10" style="62" customWidth="1"/>
    <col min="12" max="12" width="8.5546875" style="62" customWidth="1"/>
    <col min="13" max="13" width="13" style="62" customWidth="1"/>
    <col min="14" max="14" width="8.5546875" style="62" customWidth="1"/>
    <col min="15" max="16" width="9.5546875" style="62" customWidth="1"/>
    <col min="17" max="17" width="10.44140625" style="62" customWidth="1"/>
    <col min="18" max="18" width="8.5546875" style="62" customWidth="1"/>
    <col min="19" max="19" width="10.21875" style="62" customWidth="1"/>
    <col min="20" max="20" width="24.5546875" style="63" customWidth="1"/>
    <col min="21" max="21" width="11.77734375" style="62" hidden="1" customWidth="1"/>
    <col min="22" max="254" width="9.44140625" style="62"/>
    <col min="255" max="255" width="6.5546875" style="62" customWidth="1"/>
    <col min="256" max="256" width="6.5546875" style="62" bestFit="1" customWidth="1"/>
    <col min="257" max="257" width="10.44140625" style="62" bestFit="1" customWidth="1"/>
    <col min="258" max="258" width="9.5546875" style="62" customWidth="1"/>
    <col min="259" max="259" width="11.44140625" style="62" customWidth="1"/>
    <col min="260" max="260" width="10.5546875" style="62" customWidth="1"/>
    <col min="261" max="261" width="8.5546875" style="62" customWidth="1"/>
    <col min="262" max="264" width="10" style="62" customWidth="1"/>
    <col min="265" max="265" width="8.5546875" style="62" customWidth="1"/>
    <col min="266" max="266" width="10.44140625" style="62" customWidth="1"/>
    <col min="267" max="267" width="8.5546875" style="62" customWidth="1"/>
    <col min="268" max="269" width="9.5546875" style="62" customWidth="1"/>
    <col min="270" max="270" width="8.5546875" style="62" customWidth="1"/>
    <col min="271" max="271" width="8" style="62" customWidth="1"/>
    <col min="272" max="272" width="9.44140625" style="62" customWidth="1"/>
    <col min="273" max="274" width="9.44140625" style="62"/>
    <col min="275" max="275" width="10" style="62" customWidth="1"/>
    <col min="276" max="276" width="10.5546875" style="62" customWidth="1"/>
    <col min="277" max="277" width="9.44140625" style="62" customWidth="1"/>
    <col min="278" max="510" width="9.44140625" style="62"/>
    <col min="511" max="511" width="6.5546875" style="62" customWidth="1"/>
    <col min="512" max="512" width="6.5546875" style="62" bestFit="1" customWidth="1"/>
    <col min="513" max="513" width="10.44140625" style="62" bestFit="1" customWidth="1"/>
    <col min="514" max="514" width="9.5546875" style="62" customWidth="1"/>
    <col min="515" max="515" width="11.44140625" style="62" customWidth="1"/>
    <col min="516" max="516" width="10.5546875" style="62" customWidth="1"/>
    <col min="517" max="517" width="8.5546875" style="62" customWidth="1"/>
    <col min="518" max="520" width="10" style="62" customWidth="1"/>
    <col min="521" max="521" width="8.5546875" style="62" customWidth="1"/>
    <col min="522" max="522" width="10.44140625" style="62" customWidth="1"/>
    <col min="523" max="523" width="8.5546875" style="62" customWidth="1"/>
    <col min="524" max="525" width="9.5546875" style="62" customWidth="1"/>
    <col min="526" max="526" width="8.5546875" style="62" customWidth="1"/>
    <col min="527" max="527" width="8" style="62" customWidth="1"/>
    <col min="528" max="528" width="9.44140625" style="62" customWidth="1"/>
    <col min="529" max="530" width="9.44140625" style="62"/>
    <col min="531" max="531" width="10" style="62" customWidth="1"/>
    <col min="532" max="532" width="10.5546875" style="62" customWidth="1"/>
    <col min="533" max="533" width="9.44140625" style="62" customWidth="1"/>
    <col min="534" max="766" width="9.44140625" style="62"/>
    <col min="767" max="767" width="6.5546875" style="62" customWidth="1"/>
    <col min="768" max="768" width="6.5546875" style="62" bestFit="1" customWidth="1"/>
    <col min="769" max="769" width="10.44140625" style="62" bestFit="1" customWidth="1"/>
    <col min="770" max="770" width="9.5546875" style="62" customWidth="1"/>
    <col min="771" max="771" width="11.44140625" style="62" customWidth="1"/>
    <col min="772" max="772" width="10.5546875" style="62" customWidth="1"/>
    <col min="773" max="773" width="8.5546875" style="62" customWidth="1"/>
    <col min="774" max="776" width="10" style="62" customWidth="1"/>
    <col min="777" max="777" width="8.5546875" style="62" customWidth="1"/>
    <col min="778" max="778" width="10.44140625" style="62" customWidth="1"/>
    <col min="779" max="779" width="8.5546875" style="62" customWidth="1"/>
    <col min="780" max="781" width="9.5546875" style="62" customWidth="1"/>
    <col min="782" max="782" width="8.5546875" style="62" customWidth="1"/>
    <col min="783" max="783" width="8" style="62" customWidth="1"/>
    <col min="784" max="784" width="9.44140625" style="62" customWidth="1"/>
    <col min="785" max="786" width="9.44140625" style="62"/>
    <col min="787" max="787" width="10" style="62" customWidth="1"/>
    <col min="788" max="788" width="10.5546875" style="62" customWidth="1"/>
    <col min="789" max="789" width="9.44140625" style="62" customWidth="1"/>
    <col min="790" max="1022" width="9.44140625" style="62"/>
    <col min="1023" max="1023" width="6.5546875" style="62" customWidth="1"/>
    <col min="1024" max="1024" width="6.5546875" style="62" bestFit="1" customWidth="1"/>
    <col min="1025" max="1025" width="10.44140625" style="62" bestFit="1" customWidth="1"/>
    <col min="1026" max="1026" width="9.5546875" style="62" customWidth="1"/>
    <col min="1027" max="1027" width="11.44140625" style="62" customWidth="1"/>
    <col min="1028" max="1028" width="10.5546875" style="62" customWidth="1"/>
    <col min="1029" max="1029" width="8.5546875" style="62" customWidth="1"/>
    <col min="1030" max="1032" width="10" style="62" customWidth="1"/>
    <col min="1033" max="1033" width="8.5546875" style="62" customWidth="1"/>
    <col min="1034" max="1034" width="10.44140625" style="62" customWidth="1"/>
    <col min="1035" max="1035" width="8.5546875" style="62" customWidth="1"/>
    <col min="1036" max="1037" width="9.5546875" style="62" customWidth="1"/>
    <col min="1038" max="1038" width="8.5546875" style="62" customWidth="1"/>
    <col min="1039" max="1039" width="8" style="62" customWidth="1"/>
    <col min="1040" max="1040" width="9.44140625" style="62" customWidth="1"/>
    <col min="1041" max="1042" width="9.44140625" style="62"/>
    <col min="1043" max="1043" width="10" style="62" customWidth="1"/>
    <col min="1044" max="1044" width="10.5546875" style="62" customWidth="1"/>
    <col min="1045" max="1045" width="9.44140625" style="62" customWidth="1"/>
    <col min="1046" max="1278" width="9.44140625" style="62"/>
    <col min="1279" max="1279" width="6.5546875" style="62" customWidth="1"/>
    <col min="1280" max="1280" width="6.5546875" style="62" bestFit="1" customWidth="1"/>
    <col min="1281" max="1281" width="10.44140625" style="62" bestFit="1" customWidth="1"/>
    <col min="1282" max="1282" width="9.5546875" style="62" customWidth="1"/>
    <col min="1283" max="1283" width="11.44140625" style="62" customWidth="1"/>
    <col min="1284" max="1284" width="10.5546875" style="62" customWidth="1"/>
    <col min="1285" max="1285" width="8.5546875" style="62" customWidth="1"/>
    <col min="1286" max="1288" width="10" style="62" customWidth="1"/>
    <col min="1289" max="1289" width="8.5546875" style="62" customWidth="1"/>
    <col min="1290" max="1290" width="10.44140625" style="62" customWidth="1"/>
    <col min="1291" max="1291" width="8.5546875" style="62" customWidth="1"/>
    <col min="1292" max="1293" width="9.5546875" style="62" customWidth="1"/>
    <col min="1294" max="1294" width="8.5546875" style="62" customWidth="1"/>
    <col min="1295" max="1295" width="8" style="62" customWidth="1"/>
    <col min="1296" max="1296" width="9.44140625" style="62" customWidth="1"/>
    <col min="1297" max="1298" width="9.44140625" style="62"/>
    <col min="1299" max="1299" width="10" style="62" customWidth="1"/>
    <col min="1300" max="1300" width="10.5546875" style="62" customWidth="1"/>
    <col min="1301" max="1301" width="9.44140625" style="62" customWidth="1"/>
    <col min="1302" max="1534" width="9.44140625" style="62"/>
    <col min="1535" max="1535" width="6.5546875" style="62" customWidth="1"/>
    <col min="1536" max="1536" width="6.5546875" style="62" bestFit="1" customWidth="1"/>
    <col min="1537" max="1537" width="10.44140625" style="62" bestFit="1" customWidth="1"/>
    <col min="1538" max="1538" width="9.5546875" style="62" customWidth="1"/>
    <col min="1539" max="1539" width="11.44140625" style="62" customWidth="1"/>
    <col min="1540" max="1540" width="10.5546875" style="62" customWidth="1"/>
    <col min="1541" max="1541" width="8.5546875" style="62" customWidth="1"/>
    <col min="1542" max="1544" width="10" style="62" customWidth="1"/>
    <col min="1545" max="1545" width="8.5546875" style="62" customWidth="1"/>
    <col min="1546" max="1546" width="10.44140625" style="62" customWidth="1"/>
    <col min="1547" max="1547" width="8.5546875" style="62" customWidth="1"/>
    <col min="1548" max="1549" width="9.5546875" style="62" customWidth="1"/>
    <col min="1550" max="1550" width="8.5546875" style="62" customWidth="1"/>
    <col min="1551" max="1551" width="8" style="62" customWidth="1"/>
    <col min="1552" max="1552" width="9.44140625" style="62" customWidth="1"/>
    <col min="1553" max="1554" width="9.44140625" style="62"/>
    <col min="1555" max="1555" width="10" style="62" customWidth="1"/>
    <col min="1556" max="1556" width="10.5546875" style="62" customWidth="1"/>
    <col min="1557" max="1557" width="9.44140625" style="62" customWidth="1"/>
    <col min="1558" max="1790" width="9.44140625" style="62"/>
    <col min="1791" max="1791" width="6.5546875" style="62" customWidth="1"/>
    <col min="1792" max="1792" width="6.5546875" style="62" bestFit="1" customWidth="1"/>
    <col min="1793" max="1793" width="10.44140625" style="62" bestFit="1" customWidth="1"/>
    <col min="1794" max="1794" width="9.5546875" style="62" customWidth="1"/>
    <col min="1795" max="1795" width="11.44140625" style="62" customWidth="1"/>
    <col min="1796" max="1796" width="10.5546875" style="62" customWidth="1"/>
    <col min="1797" max="1797" width="8.5546875" style="62" customWidth="1"/>
    <col min="1798" max="1800" width="10" style="62" customWidth="1"/>
    <col min="1801" max="1801" width="8.5546875" style="62" customWidth="1"/>
    <col min="1802" max="1802" width="10.44140625" style="62" customWidth="1"/>
    <col min="1803" max="1803" width="8.5546875" style="62" customWidth="1"/>
    <col min="1804" max="1805" width="9.5546875" style="62" customWidth="1"/>
    <col min="1806" max="1806" width="8.5546875" style="62" customWidth="1"/>
    <col min="1807" max="1807" width="8" style="62" customWidth="1"/>
    <col min="1808" max="1808" width="9.44140625" style="62" customWidth="1"/>
    <col min="1809" max="1810" width="9.44140625" style="62"/>
    <col min="1811" max="1811" width="10" style="62" customWidth="1"/>
    <col min="1812" max="1812" width="10.5546875" style="62" customWidth="1"/>
    <col min="1813" max="1813" width="9.44140625" style="62" customWidth="1"/>
    <col min="1814" max="2046" width="9.44140625" style="62"/>
    <col min="2047" max="2047" width="6.5546875" style="62" customWidth="1"/>
    <col min="2048" max="2048" width="6.5546875" style="62" bestFit="1" customWidth="1"/>
    <col min="2049" max="2049" width="10.44140625" style="62" bestFit="1" customWidth="1"/>
    <col min="2050" max="2050" width="9.5546875" style="62" customWidth="1"/>
    <col min="2051" max="2051" width="11.44140625" style="62" customWidth="1"/>
    <col min="2052" max="2052" width="10.5546875" style="62" customWidth="1"/>
    <col min="2053" max="2053" width="8.5546875" style="62" customWidth="1"/>
    <col min="2054" max="2056" width="10" style="62" customWidth="1"/>
    <col min="2057" max="2057" width="8.5546875" style="62" customWidth="1"/>
    <col min="2058" max="2058" width="10.44140625" style="62" customWidth="1"/>
    <col min="2059" max="2059" width="8.5546875" style="62" customWidth="1"/>
    <col min="2060" max="2061" width="9.5546875" style="62" customWidth="1"/>
    <col min="2062" max="2062" width="8.5546875" style="62" customWidth="1"/>
    <col min="2063" max="2063" width="8" style="62" customWidth="1"/>
    <col min="2064" max="2064" width="9.44140625" style="62" customWidth="1"/>
    <col min="2065" max="2066" width="9.44140625" style="62"/>
    <col min="2067" max="2067" width="10" style="62" customWidth="1"/>
    <col min="2068" max="2068" width="10.5546875" style="62" customWidth="1"/>
    <col min="2069" max="2069" width="9.44140625" style="62" customWidth="1"/>
    <col min="2070" max="2302" width="9.44140625" style="62"/>
    <col min="2303" max="2303" width="6.5546875" style="62" customWidth="1"/>
    <col min="2304" max="2304" width="6.5546875" style="62" bestFit="1" customWidth="1"/>
    <col min="2305" max="2305" width="10.44140625" style="62" bestFit="1" customWidth="1"/>
    <col min="2306" max="2306" width="9.5546875" style="62" customWidth="1"/>
    <col min="2307" max="2307" width="11.44140625" style="62" customWidth="1"/>
    <col min="2308" max="2308" width="10.5546875" style="62" customWidth="1"/>
    <col min="2309" max="2309" width="8.5546875" style="62" customWidth="1"/>
    <col min="2310" max="2312" width="10" style="62" customWidth="1"/>
    <col min="2313" max="2313" width="8.5546875" style="62" customWidth="1"/>
    <col min="2314" max="2314" width="10.44140625" style="62" customWidth="1"/>
    <col min="2315" max="2315" width="8.5546875" style="62" customWidth="1"/>
    <col min="2316" max="2317" width="9.5546875" style="62" customWidth="1"/>
    <col min="2318" max="2318" width="8.5546875" style="62" customWidth="1"/>
    <col min="2319" max="2319" width="8" style="62" customWidth="1"/>
    <col min="2320" max="2320" width="9.44140625" style="62" customWidth="1"/>
    <col min="2321" max="2322" width="9.44140625" style="62"/>
    <col min="2323" max="2323" width="10" style="62" customWidth="1"/>
    <col min="2324" max="2324" width="10.5546875" style="62" customWidth="1"/>
    <col min="2325" max="2325" width="9.44140625" style="62" customWidth="1"/>
    <col min="2326" max="2558" width="9.44140625" style="62"/>
    <col min="2559" max="2559" width="6.5546875" style="62" customWidth="1"/>
    <col min="2560" max="2560" width="6.5546875" style="62" bestFit="1" customWidth="1"/>
    <col min="2561" max="2561" width="10.44140625" style="62" bestFit="1" customWidth="1"/>
    <col min="2562" max="2562" width="9.5546875" style="62" customWidth="1"/>
    <col min="2563" max="2563" width="11.44140625" style="62" customWidth="1"/>
    <col min="2564" max="2564" width="10.5546875" style="62" customWidth="1"/>
    <col min="2565" max="2565" width="8.5546875" style="62" customWidth="1"/>
    <col min="2566" max="2568" width="10" style="62" customWidth="1"/>
    <col min="2569" max="2569" width="8.5546875" style="62" customWidth="1"/>
    <col min="2570" max="2570" width="10.44140625" style="62" customWidth="1"/>
    <col min="2571" max="2571" width="8.5546875" style="62" customWidth="1"/>
    <col min="2572" max="2573" width="9.5546875" style="62" customWidth="1"/>
    <col min="2574" max="2574" width="8.5546875" style="62" customWidth="1"/>
    <col min="2575" max="2575" width="8" style="62" customWidth="1"/>
    <col min="2576" max="2576" width="9.44140625" style="62" customWidth="1"/>
    <col min="2577" max="2578" width="9.44140625" style="62"/>
    <col min="2579" max="2579" width="10" style="62" customWidth="1"/>
    <col min="2580" max="2580" width="10.5546875" style="62" customWidth="1"/>
    <col min="2581" max="2581" width="9.44140625" style="62" customWidth="1"/>
    <col min="2582" max="2814" width="9.44140625" style="62"/>
    <col min="2815" max="2815" width="6.5546875" style="62" customWidth="1"/>
    <col min="2816" max="2816" width="6.5546875" style="62" bestFit="1" customWidth="1"/>
    <col min="2817" max="2817" width="10.44140625" style="62" bestFit="1" customWidth="1"/>
    <col min="2818" max="2818" width="9.5546875" style="62" customWidth="1"/>
    <col min="2819" max="2819" width="11.44140625" style="62" customWidth="1"/>
    <col min="2820" max="2820" width="10.5546875" style="62" customWidth="1"/>
    <col min="2821" max="2821" width="8.5546875" style="62" customWidth="1"/>
    <col min="2822" max="2824" width="10" style="62" customWidth="1"/>
    <col min="2825" max="2825" width="8.5546875" style="62" customWidth="1"/>
    <col min="2826" max="2826" width="10.44140625" style="62" customWidth="1"/>
    <col min="2827" max="2827" width="8.5546875" style="62" customWidth="1"/>
    <col min="2828" max="2829" width="9.5546875" style="62" customWidth="1"/>
    <col min="2830" max="2830" width="8.5546875" style="62" customWidth="1"/>
    <col min="2831" max="2831" width="8" style="62" customWidth="1"/>
    <col min="2832" max="2832" width="9.44140625" style="62" customWidth="1"/>
    <col min="2833" max="2834" width="9.44140625" style="62"/>
    <col min="2835" max="2835" width="10" style="62" customWidth="1"/>
    <col min="2836" max="2836" width="10.5546875" style="62" customWidth="1"/>
    <col min="2837" max="2837" width="9.44140625" style="62" customWidth="1"/>
    <col min="2838" max="3070" width="9.44140625" style="62"/>
    <col min="3071" max="3071" width="6.5546875" style="62" customWidth="1"/>
    <col min="3072" max="3072" width="6.5546875" style="62" bestFit="1" customWidth="1"/>
    <col min="3073" max="3073" width="10.44140625" style="62" bestFit="1" customWidth="1"/>
    <col min="3074" max="3074" width="9.5546875" style="62" customWidth="1"/>
    <col min="3075" max="3075" width="11.44140625" style="62" customWidth="1"/>
    <col min="3076" max="3076" width="10.5546875" style="62" customWidth="1"/>
    <col min="3077" max="3077" width="8.5546875" style="62" customWidth="1"/>
    <col min="3078" max="3080" width="10" style="62" customWidth="1"/>
    <col min="3081" max="3081" width="8.5546875" style="62" customWidth="1"/>
    <col min="3082" max="3082" width="10.44140625" style="62" customWidth="1"/>
    <col min="3083" max="3083" width="8.5546875" style="62" customWidth="1"/>
    <col min="3084" max="3085" width="9.5546875" style="62" customWidth="1"/>
    <col min="3086" max="3086" width="8.5546875" style="62" customWidth="1"/>
    <col min="3087" max="3087" width="8" style="62" customWidth="1"/>
    <col min="3088" max="3088" width="9.44140625" style="62" customWidth="1"/>
    <col min="3089" max="3090" width="9.44140625" style="62"/>
    <col min="3091" max="3091" width="10" style="62" customWidth="1"/>
    <col min="3092" max="3092" width="10.5546875" style="62" customWidth="1"/>
    <col min="3093" max="3093" width="9.44140625" style="62" customWidth="1"/>
    <col min="3094" max="3326" width="9.44140625" style="62"/>
    <col min="3327" max="3327" width="6.5546875" style="62" customWidth="1"/>
    <col min="3328" max="3328" width="6.5546875" style="62" bestFit="1" customWidth="1"/>
    <col min="3329" max="3329" width="10.44140625" style="62" bestFit="1" customWidth="1"/>
    <col min="3330" max="3330" width="9.5546875" style="62" customWidth="1"/>
    <col min="3331" max="3331" width="11.44140625" style="62" customWidth="1"/>
    <col min="3332" max="3332" width="10.5546875" style="62" customWidth="1"/>
    <col min="3333" max="3333" width="8.5546875" style="62" customWidth="1"/>
    <col min="3334" max="3336" width="10" style="62" customWidth="1"/>
    <col min="3337" max="3337" width="8.5546875" style="62" customWidth="1"/>
    <col min="3338" max="3338" width="10.44140625" style="62" customWidth="1"/>
    <col min="3339" max="3339" width="8.5546875" style="62" customWidth="1"/>
    <col min="3340" max="3341" width="9.5546875" style="62" customWidth="1"/>
    <col min="3342" max="3342" width="8.5546875" style="62" customWidth="1"/>
    <col min="3343" max="3343" width="8" style="62" customWidth="1"/>
    <col min="3344" max="3344" width="9.44140625" style="62" customWidth="1"/>
    <col min="3345" max="3346" width="9.44140625" style="62"/>
    <col min="3347" max="3347" width="10" style="62" customWidth="1"/>
    <col min="3348" max="3348" width="10.5546875" style="62" customWidth="1"/>
    <col min="3349" max="3349" width="9.44140625" style="62" customWidth="1"/>
    <col min="3350" max="3582" width="9.44140625" style="62"/>
    <col min="3583" max="3583" width="6.5546875" style="62" customWidth="1"/>
    <col min="3584" max="3584" width="6.5546875" style="62" bestFit="1" customWidth="1"/>
    <col min="3585" max="3585" width="10.44140625" style="62" bestFit="1" customWidth="1"/>
    <col min="3586" max="3586" width="9.5546875" style="62" customWidth="1"/>
    <col min="3587" max="3587" width="11.44140625" style="62" customWidth="1"/>
    <col min="3588" max="3588" width="10.5546875" style="62" customWidth="1"/>
    <col min="3589" max="3589" width="8.5546875" style="62" customWidth="1"/>
    <col min="3590" max="3592" width="10" style="62" customWidth="1"/>
    <col min="3593" max="3593" width="8.5546875" style="62" customWidth="1"/>
    <col min="3594" max="3594" width="10.44140625" style="62" customWidth="1"/>
    <col min="3595" max="3595" width="8.5546875" style="62" customWidth="1"/>
    <col min="3596" max="3597" width="9.5546875" style="62" customWidth="1"/>
    <col min="3598" max="3598" width="8.5546875" style="62" customWidth="1"/>
    <col min="3599" max="3599" width="8" style="62" customWidth="1"/>
    <col min="3600" max="3600" width="9.44140625" style="62" customWidth="1"/>
    <col min="3601" max="3602" width="9.44140625" style="62"/>
    <col min="3603" max="3603" width="10" style="62" customWidth="1"/>
    <col min="3604" max="3604" width="10.5546875" style="62" customWidth="1"/>
    <col min="3605" max="3605" width="9.44140625" style="62" customWidth="1"/>
    <col min="3606" max="3838" width="9.44140625" style="62"/>
    <col min="3839" max="3839" width="6.5546875" style="62" customWidth="1"/>
    <col min="3840" max="3840" width="6.5546875" style="62" bestFit="1" customWidth="1"/>
    <col min="3841" max="3841" width="10.44140625" style="62" bestFit="1" customWidth="1"/>
    <col min="3842" max="3842" width="9.5546875" style="62" customWidth="1"/>
    <col min="3843" max="3843" width="11.44140625" style="62" customWidth="1"/>
    <col min="3844" max="3844" width="10.5546875" style="62" customWidth="1"/>
    <col min="3845" max="3845" width="8.5546875" style="62" customWidth="1"/>
    <col min="3846" max="3848" width="10" style="62" customWidth="1"/>
    <col min="3849" max="3849" width="8.5546875" style="62" customWidth="1"/>
    <col min="3850" max="3850" width="10.44140625" style="62" customWidth="1"/>
    <col min="3851" max="3851" width="8.5546875" style="62" customWidth="1"/>
    <col min="3852" max="3853" width="9.5546875" style="62" customWidth="1"/>
    <col min="3854" max="3854" width="8.5546875" style="62" customWidth="1"/>
    <col min="3855" max="3855" width="8" style="62" customWidth="1"/>
    <col min="3856" max="3856" width="9.44140625" style="62" customWidth="1"/>
    <col min="3857" max="3858" width="9.44140625" style="62"/>
    <col min="3859" max="3859" width="10" style="62" customWidth="1"/>
    <col min="3860" max="3860" width="10.5546875" style="62" customWidth="1"/>
    <col min="3861" max="3861" width="9.44140625" style="62" customWidth="1"/>
    <col min="3862" max="4094" width="9.44140625" style="62"/>
    <col min="4095" max="4095" width="6.5546875" style="62" customWidth="1"/>
    <col min="4096" max="4096" width="6.5546875" style="62" bestFit="1" customWidth="1"/>
    <col min="4097" max="4097" width="10.44140625" style="62" bestFit="1" customWidth="1"/>
    <col min="4098" max="4098" width="9.5546875" style="62" customWidth="1"/>
    <col min="4099" max="4099" width="11.44140625" style="62" customWidth="1"/>
    <col min="4100" max="4100" width="10.5546875" style="62" customWidth="1"/>
    <col min="4101" max="4101" width="8.5546875" style="62" customWidth="1"/>
    <col min="4102" max="4104" width="10" style="62" customWidth="1"/>
    <col min="4105" max="4105" width="8.5546875" style="62" customWidth="1"/>
    <col min="4106" max="4106" width="10.44140625" style="62" customWidth="1"/>
    <col min="4107" max="4107" width="8.5546875" style="62" customWidth="1"/>
    <col min="4108" max="4109" width="9.5546875" style="62" customWidth="1"/>
    <col min="4110" max="4110" width="8.5546875" style="62" customWidth="1"/>
    <col min="4111" max="4111" width="8" style="62" customWidth="1"/>
    <col min="4112" max="4112" width="9.44140625" style="62" customWidth="1"/>
    <col min="4113" max="4114" width="9.44140625" style="62"/>
    <col min="4115" max="4115" width="10" style="62" customWidth="1"/>
    <col min="4116" max="4116" width="10.5546875" style="62" customWidth="1"/>
    <col min="4117" max="4117" width="9.44140625" style="62" customWidth="1"/>
    <col min="4118" max="4350" width="9.44140625" style="62"/>
    <col min="4351" max="4351" width="6.5546875" style="62" customWidth="1"/>
    <col min="4352" max="4352" width="6.5546875" style="62" bestFit="1" customWidth="1"/>
    <col min="4353" max="4353" width="10.44140625" style="62" bestFit="1" customWidth="1"/>
    <col min="4354" max="4354" width="9.5546875" style="62" customWidth="1"/>
    <col min="4355" max="4355" width="11.44140625" style="62" customWidth="1"/>
    <col min="4356" max="4356" width="10.5546875" style="62" customWidth="1"/>
    <col min="4357" max="4357" width="8.5546875" style="62" customWidth="1"/>
    <col min="4358" max="4360" width="10" style="62" customWidth="1"/>
    <col min="4361" max="4361" width="8.5546875" style="62" customWidth="1"/>
    <col min="4362" max="4362" width="10.44140625" style="62" customWidth="1"/>
    <col min="4363" max="4363" width="8.5546875" style="62" customWidth="1"/>
    <col min="4364" max="4365" width="9.5546875" style="62" customWidth="1"/>
    <col min="4366" max="4366" width="8.5546875" style="62" customWidth="1"/>
    <col min="4367" max="4367" width="8" style="62" customWidth="1"/>
    <col min="4368" max="4368" width="9.44140625" style="62" customWidth="1"/>
    <col min="4369" max="4370" width="9.44140625" style="62"/>
    <col min="4371" max="4371" width="10" style="62" customWidth="1"/>
    <col min="4372" max="4372" width="10.5546875" style="62" customWidth="1"/>
    <col min="4373" max="4373" width="9.44140625" style="62" customWidth="1"/>
    <col min="4374" max="4606" width="9.44140625" style="62"/>
    <col min="4607" max="4607" width="6.5546875" style="62" customWidth="1"/>
    <col min="4608" max="4608" width="6.5546875" style="62" bestFit="1" customWidth="1"/>
    <col min="4609" max="4609" width="10.44140625" style="62" bestFit="1" customWidth="1"/>
    <col min="4610" max="4610" width="9.5546875" style="62" customWidth="1"/>
    <col min="4611" max="4611" width="11.44140625" style="62" customWidth="1"/>
    <col min="4612" max="4612" width="10.5546875" style="62" customWidth="1"/>
    <col min="4613" max="4613" width="8.5546875" style="62" customWidth="1"/>
    <col min="4614" max="4616" width="10" style="62" customWidth="1"/>
    <col min="4617" max="4617" width="8.5546875" style="62" customWidth="1"/>
    <col min="4618" max="4618" width="10.44140625" style="62" customWidth="1"/>
    <col min="4619" max="4619" width="8.5546875" style="62" customWidth="1"/>
    <col min="4620" max="4621" width="9.5546875" style="62" customWidth="1"/>
    <col min="4622" max="4622" width="8.5546875" style="62" customWidth="1"/>
    <col min="4623" max="4623" width="8" style="62" customWidth="1"/>
    <col min="4624" max="4624" width="9.44140625" style="62" customWidth="1"/>
    <col min="4625" max="4626" width="9.44140625" style="62"/>
    <col min="4627" max="4627" width="10" style="62" customWidth="1"/>
    <col min="4628" max="4628" width="10.5546875" style="62" customWidth="1"/>
    <col min="4629" max="4629" width="9.44140625" style="62" customWidth="1"/>
    <col min="4630" max="4862" width="9.44140625" style="62"/>
    <col min="4863" max="4863" width="6.5546875" style="62" customWidth="1"/>
    <col min="4864" max="4864" width="6.5546875" style="62" bestFit="1" customWidth="1"/>
    <col min="4865" max="4865" width="10.44140625" style="62" bestFit="1" customWidth="1"/>
    <col min="4866" max="4866" width="9.5546875" style="62" customWidth="1"/>
    <col min="4867" max="4867" width="11.44140625" style="62" customWidth="1"/>
    <col min="4868" max="4868" width="10.5546875" style="62" customWidth="1"/>
    <col min="4869" max="4869" width="8.5546875" style="62" customWidth="1"/>
    <col min="4870" max="4872" width="10" style="62" customWidth="1"/>
    <col min="4873" max="4873" width="8.5546875" style="62" customWidth="1"/>
    <col min="4874" max="4874" width="10.44140625" style="62" customWidth="1"/>
    <col min="4875" max="4875" width="8.5546875" style="62" customWidth="1"/>
    <col min="4876" max="4877" width="9.5546875" style="62" customWidth="1"/>
    <col min="4878" max="4878" width="8.5546875" style="62" customWidth="1"/>
    <col min="4879" max="4879" width="8" style="62" customWidth="1"/>
    <col min="4880" max="4880" width="9.44140625" style="62" customWidth="1"/>
    <col min="4881" max="4882" width="9.44140625" style="62"/>
    <col min="4883" max="4883" width="10" style="62" customWidth="1"/>
    <col min="4884" max="4884" width="10.5546875" style="62" customWidth="1"/>
    <col min="4885" max="4885" width="9.44140625" style="62" customWidth="1"/>
    <col min="4886" max="5118" width="9.44140625" style="62"/>
    <col min="5119" max="5119" width="6.5546875" style="62" customWidth="1"/>
    <col min="5120" max="5120" width="6.5546875" style="62" bestFit="1" customWidth="1"/>
    <col min="5121" max="5121" width="10.44140625" style="62" bestFit="1" customWidth="1"/>
    <col min="5122" max="5122" width="9.5546875" style="62" customWidth="1"/>
    <col min="5123" max="5123" width="11.44140625" style="62" customWidth="1"/>
    <col min="5124" max="5124" width="10.5546875" style="62" customWidth="1"/>
    <col min="5125" max="5125" width="8.5546875" style="62" customWidth="1"/>
    <col min="5126" max="5128" width="10" style="62" customWidth="1"/>
    <col min="5129" max="5129" width="8.5546875" style="62" customWidth="1"/>
    <col min="5130" max="5130" width="10.44140625" style="62" customWidth="1"/>
    <col min="5131" max="5131" width="8.5546875" style="62" customWidth="1"/>
    <col min="5132" max="5133" width="9.5546875" style="62" customWidth="1"/>
    <col min="5134" max="5134" width="8.5546875" style="62" customWidth="1"/>
    <col min="5135" max="5135" width="8" style="62" customWidth="1"/>
    <col min="5136" max="5136" width="9.44140625" style="62" customWidth="1"/>
    <col min="5137" max="5138" width="9.44140625" style="62"/>
    <col min="5139" max="5139" width="10" style="62" customWidth="1"/>
    <col min="5140" max="5140" width="10.5546875" style="62" customWidth="1"/>
    <col min="5141" max="5141" width="9.44140625" style="62" customWidth="1"/>
    <col min="5142" max="5374" width="9.44140625" style="62"/>
    <col min="5375" max="5375" width="6.5546875" style="62" customWidth="1"/>
    <col min="5376" max="5376" width="6.5546875" style="62" bestFit="1" customWidth="1"/>
    <col min="5377" max="5377" width="10.44140625" style="62" bestFit="1" customWidth="1"/>
    <col min="5378" max="5378" width="9.5546875" style="62" customWidth="1"/>
    <col min="5379" max="5379" width="11.44140625" style="62" customWidth="1"/>
    <col min="5380" max="5380" width="10.5546875" style="62" customWidth="1"/>
    <col min="5381" max="5381" width="8.5546875" style="62" customWidth="1"/>
    <col min="5382" max="5384" width="10" style="62" customWidth="1"/>
    <col min="5385" max="5385" width="8.5546875" style="62" customWidth="1"/>
    <col min="5386" max="5386" width="10.44140625" style="62" customWidth="1"/>
    <col min="5387" max="5387" width="8.5546875" style="62" customWidth="1"/>
    <col min="5388" max="5389" width="9.5546875" style="62" customWidth="1"/>
    <col min="5390" max="5390" width="8.5546875" style="62" customWidth="1"/>
    <col min="5391" max="5391" width="8" style="62" customWidth="1"/>
    <col min="5392" max="5392" width="9.44140625" style="62" customWidth="1"/>
    <col min="5393" max="5394" width="9.44140625" style="62"/>
    <col min="5395" max="5395" width="10" style="62" customWidth="1"/>
    <col min="5396" max="5396" width="10.5546875" style="62" customWidth="1"/>
    <col min="5397" max="5397" width="9.44140625" style="62" customWidth="1"/>
    <col min="5398" max="5630" width="9.44140625" style="62"/>
    <col min="5631" max="5631" width="6.5546875" style="62" customWidth="1"/>
    <col min="5632" max="5632" width="6.5546875" style="62" bestFit="1" customWidth="1"/>
    <col min="5633" max="5633" width="10.44140625" style="62" bestFit="1" customWidth="1"/>
    <col min="5634" max="5634" width="9.5546875" style="62" customWidth="1"/>
    <col min="5635" max="5635" width="11.44140625" style="62" customWidth="1"/>
    <col min="5636" max="5636" width="10.5546875" style="62" customWidth="1"/>
    <col min="5637" max="5637" width="8.5546875" style="62" customWidth="1"/>
    <col min="5638" max="5640" width="10" style="62" customWidth="1"/>
    <col min="5641" max="5641" width="8.5546875" style="62" customWidth="1"/>
    <col min="5642" max="5642" width="10.44140625" style="62" customWidth="1"/>
    <col min="5643" max="5643" width="8.5546875" style="62" customWidth="1"/>
    <col min="5644" max="5645" width="9.5546875" style="62" customWidth="1"/>
    <col min="5646" max="5646" width="8.5546875" style="62" customWidth="1"/>
    <col min="5647" max="5647" width="8" style="62" customWidth="1"/>
    <col min="5648" max="5648" width="9.44140625" style="62" customWidth="1"/>
    <col min="5649" max="5650" width="9.44140625" style="62"/>
    <col min="5651" max="5651" width="10" style="62" customWidth="1"/>
    <col min="5652" max="5652" width="10.5546875" style="62" customWidth="1"/>
    <col min="5653" max="5653" width="9.44140625" style="62" customWidth="1"/>
    <col min="5654" max="5886" width="9.44140625" style="62"/>
    <col min="5887" max="5887" width="6.5546875" style="62" customWidth="1"/>
    <col min="5888" max="5888" width="6.5546875" style="62" bestFit="1" customWidth="1"/>
    <col min="5889" max="5889" width="10.44140625" style="62" bestFit="1" customWidth="1"/>
    <col min="5890" max="5890" width="9.5546875" style="62" customWidth="1"/>
    <col min="5891" max="5891" width="11.44140625" style="62" customWidth="1"/>
    <col min="5892" max="5892" width="10.5546875" style="62" customWidth="1"/>
    <col min="5893" max="5893" width="8.5546875" style="62" customWidth="1"/>
    <col min="5894" max="5896" width="10" style="62" customWidth="1"/>
    <col min="5897" max="5897" width="8.5546875" style="62" customWidth="1"/>
    <col min="5898" max="5898" width="10.44140625" style="62" customWidth="1"/>
    <col min="5899" max="5899" width="8.5546875" style="62" customWidth="1"/>
    <col min="5900" max="5901" width="9.5546875" style="62" customWidth="1"/>
    <col min="5902" max="5902" width="8.5546875" style="62" customWidth="1"/>
    <col min="5903" max="5903" width="8" style="62" customWidth="1"/>
    <col min="5904" max="5904" width="9.44140625" style="62" customWidth="1"/>
    <col min="5905" max="5906" width="9.44140625" style="62"/>
    <col min="5907" max="5907" width="10" style="62" customWidth="1"/>
    <col min="5908" max="5908" width="10.5546875" style="62" customWidth="1"/>
    <col min="5909" max="5909" width="9.44140625" style="62" customWidth="1"/>
    <col min="5910" max="6142" width="9.44140625" style="62"/>
    <col min="6143" max="6143" width="6.5546875" style="62" customWidth="1"/>
    <col min="6144" max="6144" width="6.5546875" style="62" bestFit="1" customWidth="1"/>
    <col min="6145" max="6145" width="10.44140625" style="62" bestFit="1" customWidth="1"/>
    <col min="6146" max="6146" width="9.5546875" style="62" customWidth="1"/>
    <col min="6147" max="6147" width="11.44140625" style="62" customWidth="1"/>
    <col min="6148" max="6148" width="10.5546875" style="62" customWidth="1"/>
    <col min="6149" max="6149" width="8.5546875" style="62" customWidth="1"/>
    <col min="6150" max="6152" width="10" style="62" customWidth="1"/>
    <col min="6153" max="6153" width="8.5546875" style="62" customWidth="1"/>
    <col min="6154" max="6154" width="10.44140625" style="62" customWidth="1"/>
    <col min="6155" max="6155" width="8.5546875" style="62" customWidth="1"/>
    <col min="6156" max="6157" width="9.5546875" style="62" customWidth="1"/>
    <col min="6158" max="6158" width="8.5546875" style="62" customWidth="1"/>
    <col min="6159" max="6159" width="8" style="62" customWidth="1"/>
    <col min="6160" max="6160" width="9.44140625" style="62" customWidth="1"/>
    <col min="6161" max="6162" width="9.44140625" style="62"/>
    <col min="6163" max="6163" width="10" style="62" customWidth="1"/>
    <col min="6164" max="6164" width="10.5546875" style="62" customWidth="1"/>
    <col min="6165" max="6165" width="9.44140625" style="62" customWidth="1"/>
    <col min="6166" max="6398" width="9.44140625" style="62"/>
    <col min="6399" max="6399" width="6.5546875" style="62" customWidth="1"/>
    <col min="6400" max="6400" width="6.5546875" style="62" bestFit="1" customWidth="1"/>
    <col min="6401" max="6401" width="10.44140625" style="62" bestFit="1" customWidth="1"/>
    <col min="6402" max="6402" width="9.5546875" style="62" customWidth="1"/>
    <col min="6403" max="6403" width="11.44140625" style="62" customWidth="1"/>
    <col min="6404" max="6404" width="10.5546875" style="62" customWidth="1"/>
    <col min="6405" max="6405" width="8.5546875" style="62" customWidth="1"/>
    <col min="6406" max="6408" width="10" style="62" customWidth="1"/>
    <col min="6409" max="6409" width="8.5546875" style="62" customWidth="1"/>
    <col min="6410" max="6410" width="10.44140625" style="62" customWidth="1"/>
    <col min="6411" max="6411" width="8.5546875" style="62" customWidth="1"/>
    <col min="6412" max="6413" width="9.5546875" style="62" customWidth="1"/>
    <col min="6414" max="6414" width="8.5546875" style="62" customWidth="1"/>
    <col min="6415" max="6415" width="8" style="62" customWidth="1"/>
    <col min="6416" max="6416" width="9.44140625" style="62" customWidth="1"/>
    <col min="6417" max="6418" width="9.44140625" style="62"/>
    <col min="6419" max="6419" width="10" style="62" customWidth="1"/>
    <col min="6420" max="6420" width="10.5546875" style="62" customWidth="1"/>
    <col min="6421" max="6421" width="9.44140625" style="62" customWidth="1"/>
    <col min="6422" max="6654" width="9.44140625" style="62"/>
    <col min="6655" max="6655" width="6.5546875" style="62" customWidth="1"/>
    <col min="6656" max="6656" width="6.5546875" style="62" bestFit="1" customWidth="1"/>
    <col min="6657" max="6657" width="10.44140625" style="62" bestFit="1" customWidth="1"/>
    <col min="6658" max="6658" width="9.5546875" style="62" customWidth="1"/>
    <col min="6659" max="6659" width="11.44140625" style="62" customWidth="1"/>
    <col min="6660" max="6660" width="10.5546875" style="62" customWidth="1"/>
    <col min="6661" max="6661" width="8.5546875" style="62" customWidth="1"/>
    <col min="6662" max="6664" width="10" style="62" customWidth="1"/>
    <col min="6665" max="6665" width="8.5546875" style="62" customWidth="1"/>
    <col min="6666" max="6666" width="10.44140625" style="62" customWidth="1"/>
    <col min="6667" max="6667" width="8.5546875" style="62" customWidth="1"/>
    <col min="6668" max="6669" width="9.5546875" style="62" customWidth="1"/>
    <col min="6670" max="6670" width="8.5546875" style="62" customWidth="1"/>
    <col min="6671" max="6671" width="8" style="62" customWidth="1"/>
    <col min="6672" max="6672" width="9.44140625" style="62" customWidth="1"/>
    <col min="6673" max="6674" width="9.44140625" style="62"/>
    <col min="6675" max="6675" width="10" style="62" customWidth="1"/>
    <col min="6676" max="6676" width="10.5546875" style="62" customWidth="1"/>
    <col min="6677" max="6677" width="9.44140625" style="62" customWidth="1"/>
    <col min="6678" max="6910" width="9.44140625" style="62"/>
    <col min="6911" max="6911" width="6.5546875" style="62" customWidth="1"/>
    <col min="6912" max="6912" width="6.5546875" style="62" bestFit="1" customWidth="1"/>
    <col min="6913" max="6913" width="10.44140625" style="62" bestFit="1" customWidth="1"/>
    <col min="6914" max="6914" width="9.5546875" style="62" customWidth="1"/>
    <col min="6915" max="6915" width="11.44140625" style="62" customWidth="1"/>
    <col min="6916" max="6916" width="10.5546875" style="62" customWidth="1"/>
    <col min="6917" max="6917" width="8.5546875" style="62" customWidth="1"/>
    <col min="6918" max="6920" width="10" style="62" customWidth="1"/>
    <col min="6921" max="6921" width="8.5546875" style="62" customWidth="1"/>
    <col min="6922" max="6922" width="10.44140625" style="62" customWidth="1"/>
    <col min="6923" max="6923" width="8.5546875" style="62" customWidth="1"/>
    <col min="6924" max="6925" width="9.5546875" style="62" customWidth="1"/>
    <col min="6926" max="6926" width="8.5546875" style="62" customWidth="1"/>
    <col min="6927" max="6927" width="8" style="62" customWidth="1"/>
    <col min="6928" max="6928" width="9.44140625" style="62" customWidth="1"/>
    <col min="6929" max="6930" width="9.44140625" style="62"/>
    <col min="6931" max="6931" width="10" style="62" customWidth="1"/>
    <col min="6932" max="6932" width="10.5546875" style="62" customWidth="1"/>
    <col min="6933" max="6933" width="9.44140625" style="62" customWidth="1"/>
    <col min="6934" max="7166" width="9.44140625" style="62"/>
    <col min="7167" max="7167" width="6.5546875" style="62" customWidth="1"/>
    <col min="7168" max="7168" width="6.5546875" style="62" bestFit="1" customWidth="1"/>
    <col min="7169" max="7169" width="10.44140625" style="62" bestFit="1" customWidth="1"/>
    <col min="7170" max="7170" width="9.5546875" style="62" customWidth="1"/>
    <col min="7171" max="7171" width="11.44140625" style="62" customWidth="1"/>
    <col min="7172" max="7172" width="10.5546875" style="62" customWidth="1"/>
    <col min="7173" max="7173" width="8.5546875" style="62" customWidth="1"/>
    <col min="7174" max="7176" width="10" style="62" customWidth="1"/>
    <col min="7177" max="7177" width="8.5546875" style="62" customWidth="1"/>
    <col min="7178" max="7178" width="10.44140625" style="62" customWidth="1"/>
    <col min="7179" max="7179" width="8.5546875" style="62" customWidth="1"/>
    <col min="7180" max="7181" width="9.5546875" style="62" customWidth="1"/>
    <col min="7182" max="7182" width="8.5546875" style="62" customWidth="1"/>
    <col min="7183" max="7183" width="8" style="62" customWidth="1"/>
    <col min="7184" max="7184" width="9.44140625" style="62" customWidth="1"/>
    <col min="7185" max="7186" width="9.44140625" style="62"/>
    <col min="7187" max="7187" width="10" style="62" customWidth="1"/>
    <col min="7188" max="7188" width="10.5546875" style="62" customWidth="1"/>
    <col min="7189" max="7189" width="9.44140625" style="62" customWidth="1"/>
    <col min="7190" max="7422" width="9.44140625" style="62"/>
    <col min="7423" max="7423" width="6.5546875" style="62" customWidth="1"/>
    <col min="7424" max="7424" width="6.5546875" style="62" bestFit="1" customWidth="1"/>
    <col min="7425" max="7425" width="10.44140625" style="62" bestFit="1" customWidth="1"/>
    <col min="7426" max="7426" width="9.5546875" style="62" customWidth="1"/>
    <col min="7427" max="7427" width="11.44140625" style="62" customWidth="1"/>
    <col min="7428" max="7428" width="10.5546875" style="62" customWidth="1"/>
    <col min="7429" max="7429" width="8.5546875" style="62" customWidth="1"/>
    <col min="7430" max="7432" width="10" style="62" customWidth="1"/>
    <col min="7433" max="7433" width="8.5546875" style="62" customWidth="1"/>
    <col min="7434" max="7434" width="10.44140625" style="62" customWidth="1"/>
    <col min="7435" max="7435" width="8.5546875" style="62" customWidth="1"/>
    <col min="7436" max="7437" width="9.5546875" style="62" customWidth="1"/>
    <col min="7438" max="7438" width="8.5546875" style="62" customWidth="1"/>
    <col min="7439" max="7439" width="8" style="62" customWidth="1"/>
    <col min="7440" max="7440" width="9.44140625" style="62" customWidth="1"/>
    <col min="7441" max="7442" width="9.44140625" style="62"/>
    <col min="7443" max="7443" width="10" style="62" customWidth="1"/>
    <col min="7444" max="7444" width="10.5546875" style="62" customWidth="1"/>
    <col min="7445" max="7445" width="9.44140625" style="62" customWidth="1"/>
    <col min="7446" max="7678" width="9.44140625" style="62"/>
    <col min="7679" max="7679" width="6.5546875" style="62" customWidth="1"/>
    <col min="7680" max="7680" width="6.5546875" style="62" bestFit="1" customWidth="1"/>
    <col min="7681" max="7681" width="10.44140625" style="62" bestFit="1" customWidth="1"/>
    <col min="7682" max="7682" width="9.5546875" style="62" customWidth="1"/>
    <col min="7683" max="7683" width="11.44140625" style="62" customWidth="1"/>
    <col min="7684" max="7684" width="10.5546875" style="62" customWidth="1"/>
    <col min="7685" max="7685" width="8.5546875" style="62" customWidth="1"/>
    <col min="7686" max="7688" width="10" style="62" customWidth="1"/>
    <col min="7689" max="7689" width="8.5546875" style="62" customWidth="1"/>
    <col min="7690" max="7690" width="10.44140625" style="62" customWidth="1"/>
    <col min="7691" max="7691" width="8.5546875" style="62" customWidth="1"/>
    <col min="7692" max="7693" width="9.5546875" style="62" customWidth="1"/>
    <col min="7694" max="7694" width="8.5546875" style="62" customWidth="1"/>
    <col min="7695" max="7695" width="8" style="62" customWidth="1"/>
    <col min="7696" max="7696" width="9.44140625" style="62" customWidth="1"/>
    <col min="7697" max="7698" width="9.44140625" style="62"/>
    <col min="7699" max="7699" width="10" style="62" customWidth="1"/>
    <col min="7700" max="7700" width="10.5546875" style="62" customWidth="1"/>
    <col min="7701" max="7701" width="9.44140625" style="62" customWidth="1"/>
    <col min="7702" max="7934" width="9.44140625" style="62"/>
    <col min="7935" max="7935" width="6.5546875" style="62" customWidth="1"/>
    <col min="7936" max="7936" width="6.5546875" style="62" bestFit="1" customWidth="1"/>
    <col min="7937" max="7937" width="10.44140625" style="62" bestFit="1" customWidth="1"/>
    <col min="7938" max="7938" width="9.5546875" style="62" customWidth="1"/>
    <col min="7939" max="7939" width="11.44140625" style="62" customWidth="1"/>
    <col min="7940" max="7940" width="10.5546875" style="62" customWidth="1"/>
    <col min="7941" max="7941" width="8.5546875" style="62" customWidth="1"/>
    <col min="7942" max="7944" width="10" style="62" customWidth="1"/>
    <col min="7945" max="7945" width="8.5546875" style="62" customWidth="1"/>
    <col min="7946" max="7946" width="10.44140625" style="62" customWidth="1"/>
    <col min="7947" max="7947" width="8.5546875" style="62" customWidth="1"/>
    <col min="7948" max="7949" width="9.5546875" style="62" customWidth="1"/>
    <col min="7950" max="7950" width="8.5546875" style="62" customWidth="1"/>
    <col min="7951" max="7951" width="8" style="62" customWidth="1"/>
    <col min="7952" max="7952" width="9.44140625" style="62" customWidth="1"/>
    <col min="7953" max="7954" width="9.44140625" style="62"/>
    <col min="7955" max="7955" width="10" style="62" customWidth="1"/>
    <col min="7956" max="7956" width="10.5546875" style="62" customWidth="1"/>
    <col min="7957" max="7957" width="9.44140625" style="62" customWidth="1"/>
    <col min="7958" max="8190" width="9.44140625" style="62"/>
    <col min="8191" max="8191" width="6.5546875" style="62" customWidth="1"/>
    <col min="8192" max="8192" width="6.5546875" style="62" bestFit="1" customWidth="1"/>
    <col min="8193" max="8193" width="10.44140625" style="62" bestFit="1" customWidth="1"/>
    <col min="8194" max="8194" width="9.5546875" style="62" customWidth="1"/>
    <col min="8195" max="8195" width="11.44140625" style="62" customWidth="1"/>
    <col min="8196" max="8196" width="10.5546875" style="62" customWidth="1"/>
    <col min="8197" max="8197" width="8.5546875" style="62" customWidth="1"/>
    <col min="8198" max="8200" width="10" style="62" customWidth="1"/>
    <col min="8201" max="8201" width="8.5546875" style="62" customWidth="1"/>
    <col min="8202" max="8202" width="10.44140625" style="62" customWidth="1"/>
    <col min="8203" max="8203" width="8.5546875" style="62" customWidth="1"/>
    <col min="8204" max="8205" width="9.5546875" style="62" customWidth="1"/>
    <col min="8206" max="8206" width="8.5546875" style="62" customWidth="1"/>
    <col min="8207" max="8207" width="8" style="62" customWidth="1"/>
    <col min="8208" max="8208" width="9.44140625" style="62" customWidth="1"/>
    <col min="8209" max="8210" width="9.44140625" style="62"/>
    <col min="8211" max="8211" width="10" style="62" customWidth="1"/>
    <col min="8212" max="8212" width="10.5546875" style="62" customWidth="1"/>
    <col min="8213" max="8213" width="9.44140625" style="62" customWidth="1"/>
    <col min="8214" max="8446" width="9.44140625" style="62"/>
    <col min="8447" max="8447" width="6.5546875" style="62" customWidth="1"/>
    <col min="8448" max="8448" width="6.5546875" style="62" bestFit="1" customWidth="1"/>
    <col min="8449" max="8449" width="10.44140625" style="62" bestFit="1" customWidth="1"/>
    <col min="8450" max="8450" width="9.5546875" style="62" customWidth="1"/>
    <col min="8451" max="8451" width="11.44140625" style="62" customWidth="1"/>
    <col min="8452" max="8452" width="10.5546875" style="62" customWidth="1"/>
    <col min="8453" max="8453" width="8.5546875" style="62" customWidth="1"/>
    <col min="8454" max="8456" width="10" style="62" customWidth="1"/>
    <col min="8457" max="8457" width="8.5546875" style="62" customWidth="1"/>
    <col min="8458" max="8458" width="10.44140625" style="62" customWidth="1"/>
    <col min="8459" max="8459" width="8.5546875" style="62" customWidth="1"/>
    <col min="8460" max="8461" width="9.5546875" style="62" customWidth="1"/>
    <col min="8462" max="8462" width="8.5546875" style="62" customWidth="1"/>
    <col min="8463" max="8463" width="8" style="62" customWidth="1"/>
    <col min="8464" max="8464" width="9.44140625" style="62" customWidth="1"/>
    <col min="8465" max="8466" width="9.44140625" style="62"/>
    <col min="8467" max="8467" width="10" style="62" customWidth="1"/>
    <col min="8468" max="8468" width="10.5546875" style="62" customWidth="1"/>
    <col min="8469" max="8469" width="9.44140625" style="62" customWidth="1"/>
    <col min="8470" max="8702" width="9.44140625" style="62"/>
    <col min="8703" max="8703" width="6.5546875" style="62" customWidth="1"/>
    <col min="8704" max="8704" width="6.5546875" style="62" bestFit="1" customWidth="1"/>
    <col min="8705" max="8705" width="10.44140625" style="62" bestFit="1" customWidth="1"/>
    <col min="8706" max="8706" width="9.5546875" style="62" customWidth="1"/>
    <col min="8707" max="8707" width="11.44140625" style="62" customWidth="1"/>
    <col min="8708" max="8708" width="10.5546875" style="62" customWidth="1"/>
    <col min="8709" max="8709" width="8.5546875" style="62" customWidth="1"/>
    <col min="8710" max="8712" width="10" style="62" customWidth="1"/>
    <col min="8713" max="8713" width="8.5546875" style="62" customWidth="1"/>
    <col min="8714" max="8714" width="10.44140625" style="62" customWidth="1"/>
    <col min="8715" max="8715" width="8.5546875" style="62" customWidth="1"/>
    <col min="8716" max="8717" width="9.5546875" style="62" customWidth="1"/>
    <col min="8718" max="8718" width="8.5546875" style="62" customWidth="1"/>
    <col min="8719" max="8719" width="8" style="62" customWidth="1"/>
    <col min="8720" max="8720" width="9.44140625" style="62" customWidth="1"/>
    <col min="8721" max="8722" width="9.44140625" style="62"/>
    <col min="8723" max="8723" width="10" style="62" customWidth="1"/>
    <col min="8724" max="8724" width="10.5546875" style="62" customWidth="1"/>
    <col min="8725" max="8725" width="9.44140625" style="62" customWidth="1"/>
    <col min="8726" max="8958" width="9.44140625" style="62"/>
    <col min="8959" max="8959" width="6.5546875" style="62" customWidth="1"/>
    <col min="8960" max="8960" width="6.5546875" style="62" bestFit="1" customWidth="1"/>
    <col min="8961" max="8961" width="10.44140625" style="62" bestFit="1" customWidth="1"/>
    <col min="8962" max="8962" width="9.5546875" style="62" customWidth="1"/>
    <col min="8963" max="8963" width="11.44140625" style="62" customWidth="1"/>
    <col min="8964" max="8964" width="10.5546875" style="62" customWidth="1"/>
    <col min="8965" max="8965" width="8.5546875" style="62" customWidth="1"/>
    <col min="8966" max="8968" width="10" style="62" customWidth="1"/>
    <col min="8969" max="8969" width="8.5546875" style="62" customWidth="1"/>
    <col min="8970" max="8970" width="10.44140625" style="62" customWidth="1"/>
    <col min="8971" max="8971" width="8.5546875" style="62" customWidth="1"/>
    <col min="8972" max="8973" width="9.5546875" style="62" customWidth="1"/>
    <col min="8974" max="8974" width="8.5546875" style="62" customWidth="1"/>
    <col min="8975" max="8975" width="8" style="62" customWidth="1"/>
    <col min="8976" max="8976" width="9.44140625" style="62" customWidth="1"/>
    <col min="8977" max="8978" width="9.44140625" style="62"/>
    <col min="8979" max="8979" width="10" style="62" customWidth="1"/>
    <col min="8980" max="8980" width="10.5546875" style="62" customWidth="1"/>
    <col min="8981" max="8981" width="9.44140625" style="62" customWidth="1"/>
    <col min="8982" max="9214" width="9.44140625" style="62"/>
    <col min="9215" max="9215" width="6.5546875" style="62" customWidth="1"/>
    <col min="9216" max="9216" width="6.5546875" style="62" bestFit="1" customWidth="1"/>
    <col min="9217" max="9217" width="10.44140625" style="62" bestFit="1" customWidth="1"/>
    <col min="9218" max="9218" width="9.5546875" style="62" customWidth="1"/>
    <col min="9219" max="9219" width="11.44140625" style="62" customWidth="1"/>
    <col min="9220" max="9220" width="10.5546875" style="62" customWidth="1"/>
    <col min="9221" max="9221" width="8.5546875" style="62" customWidth="1"/>
    <col min="9222" max="9224" width="10" style="62" customWidth="1"/>
    <col min="9225" max="9225" width="8.5546875" style="62" customWidth="1"/>
    <col min="9226" max="9226" width="10.44140625" style="62" customWidth="1"/>
    <col min="9227" max="9227" width="8.5546875" style="62" customWidth="1"/>
    <col min="9228" max="9229" width="9.5546875" style="62" customWidth="1"/>
    <col min="9230" max="9230" width="8.5546875" style="62" customWidth="1"/>
    <col min="9231" max="9231" width="8" style="62" customWidth="1"/>
    <col min="9232" max="9232" width="9.44140625" style="62" customWidth="1"/>
    <col min="9233" max="9234" width="9.44140625" style="62"/>
    <col min="9235" max="9235" width="10" style="62" customWidth="1"/>
    <col min="9236" max="9236" width="10.5546875" style="62" customWidth="1"/>
    <col min="9237" max="9237" width="9.44140625" style="62" customWidth="1"/>
    <col min="9238" max="9470" width="9.44140625" style="62"/>
    <col min="9471" max="9471" width="6.5546875" style="62" customWidth="1"/>
    <col min="9472" max="9472" width="6.5546875" style="62" bestFit="1" customWidth="1"/>
    <col min="9473" max="9473" width="10.44140625" style="62" bestFit="1" customWidth="1"/>
    <col min="9474" max="9474" width="9.5546875" style="62" customWidth="1"/>
    <col min="9475" max="9475" width="11.44140625" style="62" customWidth="1"/>
    <col min="9476" max="9476" width="10.5546875" style="62" customWidth="1"/>
    <col min="9477" max="9477" width="8.5546875" style="62" customWidth="1"/>
    <col min="9478" max="9480" width="10" style="62" customWidth="1"/>
    <col min="9481" max="9481" width="8.5546875" style="62" customWidth="1"/>
    <col min="9482" max="9482" width="10.44140625" style="62" customWidth="1"/>
    <col min="9483" max="9483" width="8.5546875" style="62" customWidth="1"/>
    <col min="9484" max="9485" width="9.5546875" style="62" customWidth="1"/>
    <col min="9486" max="9486" width="8.5546875" style="62" customWidth="1"/>
    <col min="9487" max="9487" width="8" style="62" customWidth="1"/>
    <col min="9488" max="9488" width="9.44140625" style="62" customWidth="1"/>
    <col min="9489" max="9490" width="9.44140625" style="62"/>
    <col min="9491" max="9491" width="10" style="62" customWidth="1"/>
    <col min="9492" max="9492" width="10.5546875" style="62" customWidth="1"/>
    <col min="9493" max="9493" width="9.44140625" style="62" customWidth="1"/>
    <col min="9494" max="9726" width="9.44140625" style="62"/>
    <col min="9727" max="9727" width="6.5546875" style="62" customWidth="1"/>
    <col min="9728" max="9728" width="6.5546875" style="62" bestFit="1" customWidth="1"/>
    <col min="9729" max="9729" width="10.44140625" style="62" bestFit="1" customWidth="1"/>
    <col min="9730" max="9730" width="9.5546875" style="62" customWidth="1"/>
    <col min="9731" max="9731" width="11.44140625" style="62" customWidth="1"/>
    <col min="9732" max="9732" width="10.5546875" style="62" customWidth="1"/>
    <col min="9733" max="9733" width="8.5546875" style="62" customWidth="1"/>
    <col min="9734" max="9736" width="10" style="62" customWidth="1"/>
    <col min="9737" max="9737" width="8.5546875" style="62" customWidth="1"/>
    <col min="9738" max="9738" width="10.44140625" style="62" customWidth="1"/>
    <col min="9739" max="9739" width="8.5546875" style="62" customWidth="1"/>
    <col min="9740" max="9741" width="9.5546875" style="62" customWidth="1"/>
    <col min="9742" max="9742" width="8.5546875" style="62" customWidth="1"/>
    <col min="9743" max="9743" width="8" style="62" customWidth="1"/>
    <col min="9744" max="9744" width="9.44140625" style="62" customWidth="1"/>
    <col min="9745" max="9746" width="9.44140625" style="62"/>
    <col min="9747" max="9747" width="10" style="62" customWidth="1"/>
    <col min="9748" max="9748" width="10.5546875" style="62" customWidth="1"/>
    <col min="9749" max="9749" width="9.44140625" style="62" customWidth="1"/>
    <col min="9750" max="9982" width="9.44140625" style="62"/>
    <col min="9983" max="9983" width="6.5546875" style="62" customWidth="1"/>
    <col min="9984" max="9984" width="6.5546875" style="62" bestFit="1" customWidth="1"/>
    <col min="9985" max="9985" width="10.44140625" style="62" bestFit="1" customWidth="1"/>
    <col min="9986" max="9986" width="9.5546875" style="62" customWidth="1"/>
    <col min="9987" max="9987" width="11.44140625" style="62" customWidth="1"/>
    <col min="9988" max="9988" width="10.5546875" style="62" customWidth="1"/>
    <col min="9989" max="9989" width="8.5546875" style="62" customWidth="1"/>
    <col min="9990" max="9992" width="10" style="62" customWidth="1"/>
    <col min="9993" max="9993" width="8.5546875" style="62" customWidth="1"/>
    <col min="9994" max="9994" width="10.44140625" style="62" customWidth="1"/>
    <col min="9995" max="9995" width="8.5546875" style="62" customWidth="1"/>
    <col min="9996" max="9997" width="9.5546875" style="62" customWidth="1"/>
    <col min="9998" max="9998" width="8.5546875" style="62" customWidth="1"/>
    <col min="9999" max="9999" width="8" style="62" customWidth="1"/>
    <col min="10000" max="10000" width="9.44140625" style="62" customWidth="1"/>
    <col min="10001" max="10002" width="9.44140625" style="62"/>
    <col min="10003" max="10003" width="10" style="62" customWidth="1"/>
    <col min="10004" max="10004" width="10.5546875" style="62" customWidth="1"/>
    <col min="10005" max="10005" width="9.44140625" style="62" customWidth="1"/>
    <col min="10006" max="10238" width="9.44140625" style="62"/>
    <col min="10239" max="10239" width="6.5546875" style="62" customWidth="1"/>
    <col min="10240" max="10240" width="6.5546875" style="62" bestFit="1" customWidth="1"/>
    <col min="10241" max="10241" width="10.44140625" style="62" bestFit="1" customWidth="1"/>
    <col min="10242" max="10242" width="9.5546875" style="62" customWidth="1"/>
    <col min="10243" max="10243" width="11.44140625" style="62" customWidth="1"/>
    <col min="10244" max="10244" width="10.5546875" style="62" customWidth="1"/>
    <col min="10245" max="10245" width="8.5546875" style="62" customWidth="1"/>
    <col min="10246" max="10248" width="10" style="62" customWidth="1"/>
    <col min="10249" max="10249" width="8.5546875" style="62" customWidth="1"/>
    <col min="10250" max="10250" width="10.44140625" style="62" customWidth="1"/>
    <col min="10251" max="10251" width="8.5546875" style="62" customWidth="1"/>
    <col min="10252" max="10253" width="9.5546875" style="62" customWidth="1"/>
    <col min="10254" max="10254" width="8.5546875" style="62" customWidth="1"/>
    <col min="10255" max="10255" width="8" style="62" customWidth="1"/>
    <col min="10256" max="10256" width="9.44140625" style="62" customWidth="1"/>
    <col min="10257" max="10258" width="9.44140625" style="62"/>
    <col min="10259" max="10259" width="10" style="62" customWidth="1"/>
    <col min="10260" max="10260" width="10.5546875" style="62" customWidth="1"/>
    <col min="10261" max="10261" width="9.44140625" style="62" customWidth="1"/>
    <col min="10262" max="10494" width="9.44140625" style="62"/>
    <col min="10495" max="10495" width="6.5546875" style="62" customWidth="1"/>
    <col min="10496" max="10496" width="6.5546875" style="62" bestFit="1" customWidth="1"/>
    <col min="10497" max="10497" width="10.44140625" style="62" bestFit="1" customWidth="1"/>
    <col min="10498" max="10498" width="9.5546875" style="62" customWidth="1"/>
    <col min="10499" max="10499" width="11.44140625" style="62" customWidth="1"/>
    <col min="10500" max="10500" width="10.5546875" style="62" customWidth="1"/>
    <col min="10501" max="10501" width="8.5546875" style="62" customWidth="1"/>
    <col min="10502" max="10504" width="10" style="62" customWidth="1"/>
    <col min="10505" max="10505" width="8.5546875" style="62" customWidth="1"/>
    <col min="10506" max="10506" width="10.44140625" style="62" customWidth="1"/>
    <col min="10507" max="10507" width="8.5546875" style="62" customWidth="1"/>
    <col min="10508" max="10509" width="9.5546875" style="62" customWidth="1"/>
    <col min="10510" max="10510" width="8.5546875" style="62" customWidth="1"/>
    <col min="10511" max="10511" width="8" style="62" customWidth="1"/>
    <col min="10512" max="10512" width="9.44140625" style="62" customWidth="1"/>
    <col min="10513" max="10514" width="9.44140625" style="62"/>
    <col min="10515" max="10515" width="10" style="62" customWidth="1"/>
    <col min="10516" max="10516" width="10.5546875" style="62" customWidth="1"/>
    <col min="10517" max="10517" width="9.44140625" style="62" customWidth="1"/>
    <col min="10518" max="10750" width="9.44140625" style="62"/>
    <col min="10751" max="10751" width="6.5546875" style="62" customWidth="1"/>
    <col min="10752" max="10752" width="6.5546875" style="62" bestFit="1" customWidth="1"/>
    <col min="10753" max="10753" width="10.44140625" style="62" bestFit="1" customWidth="1"/>
    <col min="10754" max="10754" width="9.5546875" style="62" customWidth="1"/>
    <col min="10755" max="10755" width="11.44140625" style="62" customWidth="1"/>
    <col min="10756" max="10756" width="10.5546875" style="62" customWidth="1"/>
    <col min="10757" max="10757" width="8.5546875" style="62" customWidth="1"/>
    <col min="10758" max="10760" width="10" style="62" customWidth="1"/>
    <col min="10761" max="10761" width="8.5546875" style="62" customWidth="1"/>
    <col min="10762" max="10762" width="10.44140625" style="62" customWidth="1"/>
    <col min="10763" max="10763" width="8.5546875" style="62" customWidth="1"/>
    <col min="10764" max="10765" width="9.5546875" style="62" customWidth="1"/>
    <col min="10766" max="10766" width="8.5546875" style="62" customWidth="1"/>
    <col min="10767" max="10767" width="8" style="62" customWidth="1"/>
    <col min="10768" max="10768" width="9.44140625" style="62" customWidth="1"/>
    <col min="10769" max="10770" width="9.44140625" style="62"/>
    <col min="10771" max="10771" width="10" style="62" customWidth="1"/>
    <col min="10772" max="10772" width="10.5546875" style="62" customWidth="1"/>
    <col min="10773" max="10773" width="9.44140625" style="62" customWidth="1"/>
    <col min="10774" max="11006" width="9.44140625" style="62"/>
    <col min="11007" max="11007" width="6.5546875" style="62" customWidth="1"/>
    <col min="11008" max="11008" width="6.5546875" style="62" bestFit="1" customWidth="1"/>
    <col min="11009" max="11009" width="10.44140625" style="62" bestFit="1" customWidth="1"/>
    <col min="11010" max="11010" width="9.5546875" style="62" customWidth="1"/>
    <col min="11011" max="11011" width="11.44140625" style="62" customWidth="1"/>
    <col min="11012" max="11012" width="10.5546875" style="62" customWidth="1"/>
    <col min="11013" max="11013" width="8.5546875" style="62" customWidth="1"/>
    <col min="11014" max="11016" width="10" style="62" customWidth="1"/>
    <col min="11017" max="11017" width="8.5546875" style="62" customWidth="1"/>
    <col min="11018" max="11018" width="10.44140625" style="62" customWidth="1"/>
    <col min="11019" max="11019" width="8.5546875" style="62" customWidth="1"/>
    <col min="11020" max="11021" width="9.5546875" style="62" customWidth="1"/>
    <col min="11022" max="11022" width="8.5546875" style="62" customWidth="1"/>
    <col min="11023" max="11023" width="8" style="62" customWidth="1"/>
    <col min="11024" max="11024" width="9.44140625" style="62" customWidth="1"/>
    <col min="11025" max="11026" width="9.44140625" style="62"/>
    <col min="11027" max="11027" width="10" style="62" customWidth="1"/>
    <col min="11028" max="11028" width="10.5546875" style="62" customWidth="1"/>
    <col min="11029" max="11029" width="9.44140625" style="62" customWidth="1"/>
    <col min="11030" max="11262" width="9.44140625" style="62"/>
    <col min="11263" max="11263" width="6.5546875" style="62" customWidth="1"/>
    <col min="11264" max="11264" width="6.5546875" style="62" bestFit="1" customWidth="1"/>
    <col min="11265" max="11265" width="10.44140625" style="62" bestFit="1" customWidth="1"/>
    <col min="11266" max="11266" width="9.5546875" style="62" customWidth="1"/>
    <col min="11267" max="11267" width="11.44140625" style="62" customWidth="1"/>
    <col min="11268" max="11268" width="10.5546875" style="62" customWidth="1"/>
    <col min="11269" max="11269" width="8.5546875" style="62" customWidth="1"/>
    <col min="11270" max="11272" width="10" style="62" customWidth="1"/>
    <col min="11273" max="11273" width="8.5546875" style="62" customWidth="1"/>
    <col min="11274" max="11274" width="10.44140625" style="62" customWidth="1"/>
    <col min="11275" max="11275" width="8.5546875" style="62" customWidth="1"/>
    <col min="11276" max="11277" width="9.5546875" style="62" customWidth="1"/>
    <col min="11278" max="11278" width="8.5546875" style="62" customWidth="1"/>
    <col min="11279" max="11279" width="8" style="62" customWidth="1"/>
    <col min="11280" max="11280" width="9.44140625" style="62" customWidth="1"/>
    <col min="11281" max="11282" width="9.44140625" style="62"/>
    <col min="11283" max="11283" width="10" style="62" customWidth="1"/>
    <col min="11284" max="11284" width="10.5546875" style="62" customWidth="1"/>
    <col min="11285" max="11285" width="9.44140625" style="62" customWidth="1"/>
    <col min="11286" max="11518" width="9.44140625" style="62"/>
    <col min="11519" max="11519" width="6.5546875" style="62" customWidth="1"/>
    <col min="11520" max="11520" width="6.5546875" style="62" bestFit="1" customWidth="1"/>
    <col min="11521" max="11521" width="10.44140625" style="62" bestFit="1" customWidth="1"/>
    <col min="11522" max="11522" width="9.5546875" style="62" customWidth="1"/>
    <col min="11523" max="11523" width="11.44140625" style="62" customWidth="1"/>
    <col min="11524" max="11524" width="10.5546875" style="62" customWidth="1"/>
    <col min="11525" max="11525" width="8.5546875" style="62" customWidth="1"/>
    <col min="11526" max="11528" width="10" style="62" customWidth="1"/>
    <col min="11529" max="11529" width="8.5546875" style="62" customWidth="1"/>
    <col min="11530" max="11530" width="10.44140625" style="62" customWidth="1"/>
    <col min="11531" max="11531" width="8.5546875" style="62" customWidth="1"/>
    <col min="11532" max="11533" width="9.5546875" style="62" customWidth="1"/>
    <col min="11534" max="11534" width="8.5546875" style="62" customWidth="1"/>
    <col min="11535" max="11535" width="8" style="62" customWidth="1"/>
    <col min="11536" max="11536" width="9.44140625" style="62" customWidth="1"/>
    <col min="11537" max="11538" width="9.44140625" style="62"/>
    <col min="11539" max="11539" width="10" style="62" customWidth="1"/>
    <col min="11540" max="11540" width="10.5546875" style="62" customWidth="1"/>
    <col min="11541" max="11541" width="9.44140625" style="62" customWidth="1"/>
    <col min="11542" max="11774" width="9.44140625" style="62"/>
    <col min="11775" max="11775" width="6.5546875" style="62" customWidth="1"/>
    <col min="11776" max="11776" width="6.5546875" style="62" bestFit="1" customWidth="1"/>
    <col min="11777" max="11777" width="10.44140625" style="62" bestFit="1" customWidth="1"/>
    <col min="11778" max="11778" width="9.5546875" style="62" customWidth="1"/>
    <col min="11779" max="11779" width="11.44140625" style="62" customWidth="1"/>
    <col min="11780" max="11780" width="10.5546875" style="62" customWidth="1"/>
    <col min="11781" max="11781" width="8.5546875" style="62" customWidth="1"/>
    <col min="11782" max="11784" width="10" style="62" customWidth="1"/>
    <col min="11785" max="11785" width="8.5546875" style="62" customWidth="1"/>
    <col min="11786" max="11786" width="10.44140625" style="62" customWidth="1"/>
    <col min="11787" max="11787" width="8.5546875" style="62" customWidth="1"/>
    <col min="11788" max="11789" width="9.5546875" style="62" customWidth="1"/>
    <col min="11790" max="11790" width="8.5546875" style="62" customWidth="1"/>
    <col min="11791" max="11791" width="8" style="62" customWidth="1"/>
    <col min="11792" max="11792" width="9.44140625" style="62" customWidth="1"/>
    <col min="11793" max="11794" width="9.44140625" style="62"/>
    <col min="11795" max="11795" width="10" style="62" customWidth="1"/>
    <col min="11796" max="11796" width="10.5546875" style="62" customWidth="1"/>
    <col min="11797" max="11797" width="9.44140625" style="62" customWidth="1"/>
    <col min="11798" max="12030" width="9.44140625" style="62"/>
    <col min="12031" max="12031" width="6.5546875" style="62" customWidth="1"/>
    <col min="12032" max="12032" width="6.5546875" style="62" bestFit="1" customWidth="1"/>
    <col min="12033" max="12033" width="10.44140625" style="62" bestFit="1" customWidth="1"/>
    <col min="12034" max="12034" width="9.5546875" style="62" customWidth="1"/>
    <col min="12035" max="12035" width="11.44140625" style="62" customWidth="1"/>
    <col min="12036" max="12036" width="10.5546875" style="62" customWidth="1"/>
    <col min="12037" max="12037" width="8.5546875" style="62" customWidth="1"/>
    <col min="12038" max="12040" width="10" style="62" customWidth="1"/>
    <col min="12041" max="12041" width="8.5546875" style="62" customWidth="1"/>
    <col min="12042" max="12042" width="10.44140625" style="62" customWidth="1"/>
    <col min="12043" max="12043" width="8.5546875" style="62" customWidth="1"/>
    <col min="12044" max="12045" width="9.5546875" style="62" customWidth="1"/>
    <col min="12046" max="12046" width="8.5546875" style="62" customWidth="1"/>
    <col min="12047" max="12047" width="8" style="62" customWidth="1"/>
    <col min="12048" max="12048" width="9.44140625" style="62" customWidth="1"/>
    <col min="12049" max="12050" width="9.44140625" style="62"/>
    <col min="12051" max="12051" width="10" style="62" customWidth="1"/>
    <col min="12052" max="12052" width="10.5546875" style="62" customWidth="1"/>
    <col min="12053" max="12053" width="9.44140625" style="62" customWidth="1"/>
    <col min="12054" max="12286" width="9.44140625" style="62"/>
    <col min="12287" max="12287" width="6.5546875" style="62" customWidth="1"/>
    <col min="12288" max="12288" width="6.5546875" style="62" bestFit="1" customWidth="1"/>
    <col min="12289" max="12289" width="10.44140625" style="62" bestFit="1" customWidth="1"/>
    <col min="12290" max="12290" width="9.5546875" style="62" customWidth="1"/>
    <col min="12291" max="12291" width="11.44140625" style="62" customWidth="1"/>
    <col min="12292" max="12292" width="10.5546875" style="62" customWidth="1"/>
    <col min="12293" max="12293" width="8.5546875" style="62" customWidth="1"/>
    <col min="12294" max="12296" width="10" style="62" customWidth="1"/>
    <col min="12297" max="12297" width="8.5546875" style="62" customWidth="1"/>
    <col min="12298" max="12298" width="10.44140625" style="62" customWidth="1"/>
    <col min="12299" max="12299" width="8.5546875" style="62" customWidth="1"/>
    <col min="12300" max="12301" width="9.5546875" style="62" customWidth="1"/>
    <col min="12302" max="12302" width="8.5546875" style="62" customWidth="1"/>
    <col min="12303" max="12303" width="8" style="62" customWidth="1"/>
    <col min="12304" max="12304" width="9.44140625" style="62" customWidth="1"/>
    <col min="12305" max="12306" width="9.44140625" style="62"/>
    <col min="12307" max="12307" width="10" style="62" customWidth="1"/>
    <col min="12308" max="12308" width="10.5546875" style="62" customWidth="1"/>
    <col min="12309" max="12309" width="9.44140625" style="62" customWidth="1"/>
    <col min="12310" max="12542" width="9.44140625" style="62"/>
    <col min="12543" max="12543" width="6.5546875" style="62" customWidth="1"/>
    <col min="12544" max="12544" width="6.5546875" style="62" bestFit="1" customWidth="1"/>
    <col min="12545" max="12545" width="10.44140625" style="62" bestFit="1" customWidth="1"/>
    <col min="12546" max="12546" width="9.5546875" style="62" customWidth="1"/>
    <col min="12547" max="12547" width="11.44140625" style="62" customWidth="1"/>
    <col min="12548" max="12548" width="10.5546875" style="62" customWidth="1"/>
    <col min="12549" max="12549" width="8.5546875" style="62" customWidth="1"/>
    <col min="12550" max="12552" width="10" style="62" customWidth="1"/>
    <col min="12553" max="12553" width="8.5546875" style="62" customWidth="1"/>
    <col min="12554" max="12554" width="10.44140625" style="62" customWidth="1"/>
    <col min="12555" max="12555" width="8.5546875" style="62" customWidth="1"/>
    <col min="12556" max="12557" width="9.5546875" style="62" customWidth="1"/>
    <col min="12558" max="12558" width="8.5546875" style="62" customWidth="1"/>
    <col min="12559" max="12559" width="8" style="62" customWidth="1"/>
    <col min="12560" max="12560" width="9.44140625" style="62" customWidth="1"/>
    <col min="12561" max="12562" width="9.44140625" style="62"/>
    <col min="12563" max="12563" width="10" style="62" customWidth="1"/>
    <col min="12564" max="12564" width="10.5546875" style="62" customWidth="1"/>
    <col min="12565" max="12565" width="9.44140625" style="62" customWidth="1"/>
    <col min="12566" max="12798" width="9.44140625" style="62"/>
    <col min="12799" max="12799" width="6.5546875" style="62" customWidth="1"/>
    <col min="12800" max="12800" width="6.5546875" style="62" bestFit="1" customWidth="1"/>
    <col min="12801" max="12801" width="10.44140625" style="62" bestFit="1" customWidth="1"/>
    <col min="12802" max="12802" width="9.5546875" style="62" customWidth="1"/>
    <col min="12803" max="12803" width="11.44140625" style="62" customWidth="1"/>
    <col min="12804" max="12804" width="10.5546875" style="62" customWidth="1"/>
    <col min="12805" max="12805" width="8.5546875" style="62" customWidth="1"/>
    <col min="12806" max="12808" width="10" style="62" customWidth="1"/>
    <col min="12809" max="12809" width="8.5546875" style="62" customWidth="1"/>
    <col min="12810" max="12810" width="10.44140625" style="62" customWidth="1"/>
    <col min="12811" max="12811" width="8.5546875" style="62" customWidth="1"/>
    <col min="12812" max="12813" width="9.5546875" style="62" customWidth="1"/>
    <col min="12814" max="12814" width="8.5546875" style="62" customWidth="1"/>
    <col min="12815" max="12815" width="8" style="62" customWidth="1"/>
    <col min="12816" max="12816" width="9.44140625" style="62" customWidth="1"/>
    <col min="12817" max="12818" width="9.44140625" style="62"/>
    <col min="12819" max="12819" width="10" style="62" customWidth="1"/>
    <col min="12820" max="12820" width="10.5546875" style="62" customWidth="1"/>
    <col min="12821" max="12821" width="9.44140625" style="62" customWidth="1"/>
    <col min="12822" max="13054" width="9.44140625" style="62"/>
    <col min="13055" max="13055" width="6.5546875" style="62" customWidth="1"/>
    <col min="13056" max="13056" width="6.5546875" style="62" bestFit="1" customWidth="1"/>
    <col min="13057" max="13057" width="10.44140625" style="62" bestFit="1" customWidth="1"/>
    <col min="13058" max="13058" width="9.5546875" style="62" customWidth="1"/>
    <col min="13059" max="13059" width="11.44140625" style="62" customWidth="1"/>
    <col min="13060" max="13060" width="10.5546875" style="62" customWidth="1"/>
    <col min="13061" max="13061" width="8.5546875" style="62" customWidth="1"/>
    <col min="13062" max="13064" width="10" style="62" customWidth="1"/>
    <col min="13065" max="13065" width="8.5546875" style="62" customWidth="1"/>
    <col min="13066" max="13066" width="10.44140625" style="62" customWidth="1"/>
    <col min="13067" max="13067" width="8.5546875" style="62" customWidth="1"/>
    <col min="13068" max="13069" width="9.5546875" style="62" customWidth="1"/>
    <col min="13070" max="13070" width="8.5546875" style="62" customWidth="1"/>
    <col min="13071" max="13071" width="8" style="62" customWidth="1"/>
    <col min="13072" max="13072" width="9.44140625" style="62" customWidth="1"/>
    <col min="13073" max="13074" width="9.44140625" style="62"/>
    <col min="13075" max="13075" width="10" style="62" customWidth="1"/>
    <col min="13076" max="13076" width="10.5546875" style="62" customWidth="1"/>
    <col min="13077" max="13077" width="9.44140625" style="62" customWidth="1"/>
    <col min="13078" max="13310" width="9.44140625" style="62"/>
    <col min="13311" max="13311" width="6.5546875" style="62" customWidth="1"/>
    <col min="13312" max="13312" width="6.5546875" style="62" bestFit="1" customWidth="1"/>
    <col min="13313" max="13313" width="10.44140625" style="62" bestFit="1" customWidth="1"/>
    <col min="13314" max="13314" width="9.5546875" style="62" customWidth="1"/>
    <col min="13315" max="13315" width="11.44140625" style="62" customWidth="1"/>
    <col min="13316" max="13316" width="10.5546875" style="62" customWidth="1"/>
    <col min="13317" max="13317" width="8.5546875" style="62" customWidth="1"/>
    <col min="13318" max="13320" width="10" style="62" customWidth="1"/>
    <col min="13321" max="13321" width="8.5546875" style="62" customWidth="1"/>
    <col min="13322" max="13322" width="10.44140625" style="62" customWidth="1"/>
    <col min="13323" max="13323" width="8.5546875" style="62" customWidth="1"/>
    <col min="13324" max="13325" width="9.5546875" style="62" customWidth="1"/>
    <col min="13326" max="13326" width="8.5546875" style="62" customWidth="1"/>
    <col min="13327" max="13327" width="8" style="62" customWidth="1"/>
    <col min="13328" max="13328" width="9.44140625" style="62" customWidth="1"/>
    <col min="13329" max="13330" width="9.44140625" style="62"/>
    <col min="13331" max="13331" width="10" style="62" customWidth="1"/>
    <col min="13332" max="13332" width="10.5546875" style="62" customWidth="1"/>
    <col min="13333" max="13333" width="9.44140625" style="62" customWidth="1"/>
    <col min="13334" max="13566" width="9.44140625" style="62"/>
    <col min="13567" max="13567" width="6.5546875" style="62" customWidth="1"/>
    <col min="13568" max="13568" width="6.5546875" style="62" bestFit="1" customWidth="1"/>
    <col min="13569" max="13569" width="10.44140625" style="62" bestFit="1" customWidth="1"/>
    <col min="13570" max="13570" width="9.5546875" style="62" customWidth="1"/>
    <col min="13571" max="13571" width="11.44140625" style="62" customWidth="1"/>
    <col min="13572" max="13572" width="10.5546875" style="62" customWidth="1"/>
    <col min="13573" max="13573" width="8.5546875" style="62" customWidth="1"/>
    <col min="13574" max="13576" width="10" style="62" customWidth="1"/>
    <col min="13577" max="13577" width="8.5546875" style="62" customWidth="1"/>
    <col min="13578" max="13578" width="10.44140625" style="62" customWidth="1"/>
    <col min="13579" max="13579" width="8.5546875" style="62" customWidth="1"/>
    <col min="13580" max="13581" width="9.5546875" style="62" customWidth="1"/>
    <col min="13582" max="13582" width="8.5546875" style="62" customWidth="1"/>
    <col min="13583" max="13583" width="8" style="62" customWidth="1"/>
    <col min="13584" max="13584" width="9.44140625" style="62" customWidth="1"/>
    <col min="13585" max="13586" width="9.44140625" style="62"/>
    <col min="13587" max="13587" width="10" style="62" customWidth="1"/>
    <col min="13588" max="13588" width="10.5546875" style="62" customWidth="1"/>
    <col min="13589" max="13589" width="9.44140625" style="62" customWidth="1"/>
    <col min="13590" max="13822" width="9.44140625" style="62"/>
    <col min="13823" max="13823" width="6.5546875" style="62" customWidth="1"/>
    <col min="13824" max="13824" width="6.5546875" style="62" bestFit="1" customWidth="1"/>
    <col min="13825" max="13825" width="10.44140625" style="62" bestFit="1" customWidth="1"/>
    <col min="13826" max="13826" width="9.5546875" style="62" customWidth="1"/>
    <col min="13827" max="13827" width="11.44140625" style="62" customWidth="1"/>
    <col min="13828" max="13828" width="10.5546875" style="62" customWidth="1"/>
    <col min="13829" max="13829" width="8.5546875" style="62" customWidth="1"/>
    <col min="13830" max="13832" width="10" style="62" customWidth="1"/>
    <col min="13833" max="13833" width="8.5546875" style="62" customWidth="1"/>
    <col min="13834" max="13834" width="10.44140625" style="62" customWidth="1"/>
    <col min="13835" max="13835" width="8.5546875" style="62" customWidth="1"/>
    <col min="13836" max="13837" width="9.5546875" style="62" customWidth="1"/>
    <col min="13838" max="13838" width="8.5546875" style="62" customWidth="1"/>
    <col min="13839" max="13839" width="8" style="62" customWidth="1"/>
    <col min="13840" max="13840" width="9.44140625" style="62" customWidth="1"/>
    <col min="13841" max="13842" width="9.44140625" style="62"/>
    <col min="13843" max="13843" width="10" style="62" customWidth="1"/>
    <col min="13844" max="13844" width="10.5546875" style="62" customWidth="1"/>
    <col min="13845" max="13845" width="9.44140625" style="62" customWidth="1"/>
    <col min="13846" max="14078" width="9.44140625" style="62"/>
    <col min="14079" max="14079" width="6.5546875" style="62" customWidth="1"/>
    <col min="14080" max="14080" width="6.5546875" style="62" bestFit="1" customWidth="1"/>
    <col min="14081" max="14081" width="10.44140625" style="62" bestFit="1" customWidth="1"/>
    <col min="14082" max="14082" width="9.5546875" style="62" customWidth="1"/>
    <col min="14083" max="14083" width="11.44140625" style="62" customWidth="1"/>
    <col min="14084" max="14084" width="10.5546875" style="62" customWidth="1"/>
    <col min="14085" max="14085" width="8.5546875" style="62" customWidth="1"/>
    <col min="14086" max="14088" width="10" style="62" customWidth="1"/>
    <col min="14089" max="14089" width="8.5546875" style="62" customWidth="1"/>
    <col min="14090" max="14090" width="10.44140625" style="62" customWidth="1"/>
    <col min="14091" max="14091" width="8.5546875" style="62" customWidth="1"/>
    <col min="14092" max="14093" width="9.5546875" style="62" customWidth="1"/>
    <col min="14094" max="14094" width="8.5546875" style="62" customWidth="1"/>
    <col min="14095" max="14095" width="8" style="62" customWidth="1"/>
    <col min="14096" max="14096" width="9.44140625" style="62" customWidth="1"/>
    <col min="14097" max="14098" width="9.44140625" style="62"/>
    <col min="14099" max="14099" width="10" style="62" customWidth="1"/>
    <col min="14100" max="14100" width="10.5546875" style="62" customWidth="1"/>
    <col min="14101" max="14101" width="9.44140625" style="62" customWidth="1"/>
    <col min="14102" max="14334" width="9.44140625" style="62"/>
    <col min="14335" max="14335" width="6.5546875" style="62" customWidth="1"/>
    <col min="14336" max="14336" width="6.5546875" style="62" bestFit="1" customWidth="1"/>
    <col min="14337" max="14337" width="10.44140625" style="62" bestFit="1" customWidth="1"/>
    <col min="14338" max="14338" width="9.5546875" style="62" customWidth="1"/>
    <col min="14339" max="14339" width="11.44140625" style="62" customWidth="1"/>
    <col min="14340" max="14340" width="10.5546875" style="62" customWidth="1"/>
    <col min="14341" max="14341" width="8.5546875" style="62" customWidth="1"/>
    <col min="14342" max="14344" width="10" style="62" customWidth="1"/>
    <col min="14345" max="14345" width="8.5546875" style="62" customWidth="1"/>
    <col min="14346" max="14346" width="10.44140625" style="62" customWidth="1"/>
    <col min="14347" max="14347" width="8.5546875" style="62" customWidth="1"/>
    <col min="14348" max="14349" width="9.5546875" style="62" customWidth="1"/>
    <col min="14350" max="14350" width="8.5546875" style="62" customWidth="1"/>
    <col min="14351" max="14351" width="8" style="62" customWidth="1"/>
    <col min="14352" max="14352" width="9.44140625" style="62" customWidth="1"/>
    <col min="14353" max="14354" width="9.44140625" style="62"/>
    <col min="14355" max="14355" width="10" style="62" customWidth="1"/>
    <col min="14356" max="14356" width="10.5546875" style="62" customWidth="1"/>
    <col min="14357" max="14357" width="9.44140625" style="62" customWidth="1"/>
    <col min="14358" max="14590" width="9.44140625" style="62"/>
    <col min="14591" max="14591" width="6.5546875" style="62" customWidth="1"/>
    <col min="14592" max="14592" width="6.5546875" style="62" bestFit="1" customWidth="1"/>
    <col min="14593" max="14593" width="10.44140625" style="62" bestFit="1" customWidth="1"/>
    <col min="14594" max="14594" width="9.5546875" style="62" customWidth="1"/>
    <col min="14595" max="14595" width="11.44140625" style="62" customWidth="1"/>
    <col min="14596" max="14596" width="10.5546875" style="62" customWidth="1"/>
    <col min="14597" max="14597" width="8.5546875" style="62" customWidth="1"/>
    <col min="14598" max="14600" width="10" style="62" customWidth="1"/>
    <col min="14601" max="14601" width="8.5546875" style="62" customWidth="1"/>
    <col min="14602" max="14602" width="10.44140625" style="62" customWidth="1"/>
    <col min="14603" max="14603" width="8.5546875" style="62" customWidth="1"/>
    <col min="14604" max="14605" width="9.5546875" style="62" customWidth="1"/>
    <col min="14606" max="14606" width="8.5546875" style="62" customWidth="1"/>
    <col min="14607" max="14607" width="8" style="62" customWidth="1"/>
    <col min="14608" max="14608" width="9.44140625" style="62" customWidth="1"/>
    <col min="14609" max="14610" width="9.44140625" style="62"/>
    <col min="14611" max="14611" width="10" style="62" customWidth="1"/>
    <col min="14612" max="14612" width="10.5546875" style="62" customWidth="1"/>
    <col min="14613" max="14613" width="9.44140625" style="62" customWidth="1"/>
    <col min="14614" max="14846" width="9.44140625" style="62"/>
    <col min="14847" max="14847" width="6.5546875" style="62" customWidth="1"/>
    <col min="14848" max="14848" width="6.5546875" style="62" bestFit="1" customWidth="1"/>
    <col min="14849" max="14849" width="10.44140625" style="62" bestFit="1" customWidth="1"/>
    <col min="14850" max="14850" width="9.5546875" style="62" customWidth="1"/>
    <col min="14851" max="14851" width="11.44140625" style="62" customWidth="1"/>
    <col min="14852" max="14852" width="10.5546875" style="62" customWidth="1"/>
    <col min="14853" max="14853" width="8.5546875" style="62" customWidth="1"/>
    <col min="14854" max="14856" width="10" style="62" customWidth="1"/>
    <col min="14857" max="14857" width="8.5546875" style="62" customWidth="1"/>
    <col min="14858" max="14858" width="10.44140625" style="62" customWidth="1"/>
    <col min="14859" max="14859" width="8.5546875" style="62" customWidth="1"/>
    <col min="14860" max="14861" width="9.5546875" style="62" customWidth="1"/>
    <col min="14862" max="14862" width="8.5546875" style="62" customWidth="1"/>
    <col min="14863" max="14863" width="8" style="62" customWidth="1"/>
    <col min="14864" max="14864" width="9.44140625" style="62" customWidth="1"/>
    <col min="14865" max="14866" width="9.44140625" style="62"/>
    <col min="14867" max="14867" width="10" style="62" customWidth="1"/>
    <col min="14868" max="14868" width="10.5546875" style="62" customWidth="1"/>
    <col min="14869" max="14869" width="9.44140625" style="62" customWidth="1"/>
    <col min="14870" max="15102" width="9.44140625" style="62"/>
    <col min="15103" max="15103" width="6.5546875" style="62" customWidth="1"/>
    <col min="15104" max="15104" width="6.5546875" style="62" bestFit="1" customWidth="1"/>
    <col min="15105" max="15105" width="10.44140625" style="62" bestFit="1" customWidth="1"/>
    <col min="15106" max="15106" width="9.5546875" style="62" customWidth="1"/>
    <col min="15107" max="15107" width="11.44140625" style="62" customWidth="1"/>
    <col min="15108" max="15108" width="10.5546875" style="62" customWidth="1"/>
    <col min="15109" max="15109" width="8.5546875" style="62" customWidth="1"/>
    <col min="15110" max="15112" width="10" style="62" customWidth="1"/>
    <col min="15113" max="15113" width="8.5546875" style="62" customWidth="1"/>
    <col min="15114" max="15114" width="10.44140625" style="62" customWidth="1"/>
    <col min="15115" max="15115" width="8.5546875" style="62" customWidth="1"/>
    <col min="15116" max="15117" width="9.5546875" style="62" customWidth="1"/>
    <col min="15118" max="15118" width="8.5546875" style="62" customWidth="1"/>
    <col min="15119" max="15119" width="8" style="62" customWidth="1"/>
    <col min="15120" max="15120" width="9.44140625" style="62" customWidth="1"/>
    <col min="15121" max="15122" width="9.44140625" style="62"/>
    <col min="15123" max="15123" width="10" style="62" customWidth="1"/>
    <col min="15124" max="15124" width="10.5546875" style="62" customWidth="1"/>
    <col min="15125" max="15125" width="9.44140625" style="62" customWidth="1"/>
    <col min="15126" max="15358" width="9.44140625" style="62"/>
    <col min="15359" max="15359" width="6.5546875" style="62" customWidth="1"/>
    <col min="15360" max="15360" width="6.5546875" style="62" bestFit="1" customWidth="1"/>
    <col min="15361" max="15361" width="10.44140625" style="62" bestFit="1" customWidth="1"/>
    <col min="15362" max="15362" width="9.5546875" style="62" customWidth="1"/>
    <col min="15363" max="15363" width="11.44140625" style="62" customWidth="1"/>
    <col min="15364" max="15364" width="10.5546875" style="62" customWidth="1"/>
    <col min="15365" max="15365" width="8.5546875" style="62" customWidth="1"/>
    <col min="15366" max="15368" width="10" style="62" customWidth="1"/>
    <col min="15369" max="15369" width="8.5546875" style="62" customWidth="1"/>
    <col min="15370" max="15370" width="10.44140625" style="62" customWidth="1"/>
    <col min="15371" max="15371" width="8.5546875" style="62" customWidth="1"/>
    <col min="15372" max="15373" width="9.5546875" style="62" customWidth="1"/>
    <col min="15374" max="15374" width="8.5546875" style="62" customWidth="1"/>
    <col min="15375" max="15375" width="8" style="62" customWidth="1"/>
    <col min="15376" max="15376" width="9.44140625" style="62" customWidth="1"/>
    <col min="15377" max="15378" width="9.44140625" style="62"/>
    <col min="15379" max="15379" width="10" style="62" customWidth="1"/>
    <col min="15380" max="15380" width="10.5546875" style="62" customWidth="1"/>
    <col min="15381" max="15381" width="9.44140625" style="62" customWidth="1"/>
    <col min="15382" max="15614" width="9.44140625" style="62"/>
    <col min="15615" max="15615" width="6.5546875" style="62" customWidth="1"/>
    <col min="15616" max="15616" width="6.5546875" style="62" bestFit="1" customWidth="1"/>
    <col min="15617" max="15617" width="10.44140625" style="62" bestFit="1" customWidth="1"/>
    <col min="15618" max="15618" width="9.5546875" style="62" customWidth="1"/>
    <col min="15619" max="15619" width="11.44140625" style="62" customWidth="1"/>
    <col min="15620" max="15620" width="10.5546875" style="62" customWidth="1"/>
    <col min="15621" max="15621" width="8.5546875" style="62" customWidth="1"/>
    <col min="15622" max="15624" width="10" style="62" customWidth="1"/>
    <col min="15625" max="15625" width="8.5546875" style="62" customWidth="1"/>
    <col min="15626" max="15626" width="10.44140625" style="62" customWidth="1"/>
    <col min="15627" max="15627" width="8.5546875" style="62" customWidth="1"/>
    <col min="15628" max="15629" width="9.5546875" style="62" customWidth="1"/>
    <col min="15630" max="15630" width="8.5546875" style="62" customWidth="1"/>
    <col min="15631" max="15631" width="8" style="62" customWidth="1"/>
    <col min="15632" max="15632" width="9.44140625" style="62" customWidth="1"/>
    <col min="15633" max="15634" width="9.44140625" style="62"/>
    <col min="15635" max="15635" width="10" style="62" customWidth="1"/>
    <col min="15636" max="15636" width="10.5546875" style="62" customWidth="1"/>
    <col min="15637" max="15637" width="9.44140625" style="62" customWidth="1"/>
    <col min="15638" max="15870" width="9.44140625" style="62"/>
    <col min="15871" max="15871" width="6.5546875" style="62" customWidth="1"/>
    <col min="15872" max="15872" width="6.5546875" style="62" bestFit="1" customWidth="1"/>
    <col min="15873" max="15873" width="10.44140625" style="62" bestFit="1" customWidth="1"/>
    <col min="15874" max="15874" width="9.5546875" style="62" customWidth="1"/>
    <col min="15875" max="15875" width="11.44140625" style="62" customWidth="1"/>
    <col min="15876" max="15876" width="10.5546875" style="62" customWidth="1"/>
    <col min="15877" max="15877" width="8.5546875" style="62" customWidth="1"/>
    <col min="15878" max="15880" width="10" style="62" customWidth="1"/>
    <col min="15881" max="15881" width="8.5546875" style="62" customWidth="1"/>
    <col min="15882" max="15882" width="10.44140625" style="62" customWidth="1"/>
    <col min="15883" max="15883" width="8.5546875" style="62" customWidth="1"/>
    <col min="15884" max="15885" width="9.5546875" style="62" customWidth="1"/>
    <col min="15886" max="15886" width="8.5546875" style="62" customWidth="1"/>
    <col min="15887" max="15887" width="8" style="62" customWidth="1"/>
    <col min="15888" max="15888" width="9.44140625" style="62" customWidth="1"/>
    <col min="15889" max="15890" width="9.44140625" style="62"/>
    <col min="15891" max="15891" width="10" style="62" customWidth="1"/>
    <col min="15892" max="15892" width="10.5546875" style="62" customWidth="1"/>
    <col min="15893" max="15893" width="9.44140625" style="62" customWidth="1"/>
    <col min="15894" max="16126" width="9.44140625" style="62"/>
    <col min="16127" max="16127" width="6.5546875" style="62" customWidth="1"/>
    <col min="16128" max="16128" width="6.5546875" style="62" bestFit="1" customWidth="1"/>
    <col min="16129" max="16129" width="10.44140625" style="62" bestFit="1" customWidth="1"/>
    <col min="16130" max="16130" width="9.5546875" style="62" customWidth="1"/>
    <col min="16131" max="16131" width="11.44140625" style="62" customWidth="1"/>
    <col min="16132" max="16132" width="10.5546875" style="62" customWidth="1"/>
    <col min="16133" max="16133" width="8.5546875" style="62" customWidth="1"/>
    <col min="16134" max="16136" width="10" style="62" customWidth="1"/>
    <col min="16137" max="16137" width="8.5546875" style="62" customWidth="1"/>
    <col min="16138" max="16138" width="10.44140625" style="62" customWidth="1"/>
    <col min="16139" max="16139" width="8.5546875" style="62" customWidth="1"/>
    <col min="16140" max="16141" width="9.5546875" style="62" customWidth="1"/>
    <col min="16142" max="16142" width="8.5546875" style="62" customWidth="1"/>
    <col min="16143" max="16143" width="8" style="62" customWidth="1"/>
    <col min="16144" max="16144" width="9.44140625" style="62" customWidth="1"/>
    <col min="16145" max="16146" width="9.44140625" style="62"/>
    <col min="16147" max="16147" width="10" style="62" customWidth="1"/>
    <col min="16148" max="16148" width="10.5546875" style="62" customWidth="1"/>
    <col min="16149" max="16149" width="9.44140625" style="62" customWidth="1"/>
    <col min="16150" max="16384" width="9.44140625" style="62"/>
  </cols>
  <sheetData>
    <row r="1" spans="1:26" s="1" customFormat="1" ht="29.85" customHeight="1" x14ac:dyDescent="0.25">
      <c r="A1" s="237" t="s">
        <v>168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9"/>
      <c r="S1" s="232"/>
      <c r="T1" s="199"/>
      <c r="U1" s="91"/>
      <c r="V1" s="83"/>
      <c r="W1" s="83"/>
      <c r="X1" s="83"/>
      <c r="Y1" s="83"/>
      <c r="Z1" s="83"/>
    </row>
    <row r="2" spans="1:26" s="1" customFormat="1" ht="34.5" customHeight="1" x14ac:dyDescent="0.25">
      <c r="A2" s="206" t="s">
        <v>162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36"/>
      <c r="S2" s="233"/>
      <c r="T2" s="201"/>
      <c r="U2" s="92"/>
    </row>
    <row r="3" spans="1:26" s="1" customFormat="1" ht="37.5" customHeight="1" thickBot="1" x14ac:dyDescent="0.3">
      <c r="A3" s="204" t="s">
        <v>164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35"/>
      <c r="S3" s="234"/>
      <c r="T3" s="203"/>
      <c r="U3" s="92"/>
    </row>
    <row r="4" spans="1:26" ht="24" customHeight="1" x14ac:dyDescent="0.25">
      <c r="A4" s="90" t="s">
        <v>143</v>
      </c>
      <c r="T4" s="94"/>
      <c r="U4" s="89"/>
      <c r="W4" s="1"/>
    </row>
    <row r="5" spans="1:26" ht="21" customHeight="1" thickBot="1" x14ac:dyDescent="0.3">
      <c r="A5" s="96" t="s">
        <v>144</v>
      </c>
      <c r="B5" s="95" t="s">
        <v>169</v>
      </c>
      <c r="C5" s="95"/>
      <c r="T5" s="94"/>
      <c r="U5" s="89"/>
      <c r="W5" s="1"/>
    </row>
    <row r="6" spans="1:26" ht="14.1" customHeight="1" x14ac:dyDescent="0.25">
      <c r="A6" s="245" t="s">
        <v>142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 t="s">
        <v>20</v>
      </c>
      <c r="S6" s="246"/>
      <c r="T6" s="249"/>
      <c r="U6" s="243" t="s">
        <v>140</v>
      </c>
      <c r="W6" s="1"/>
    </row>
    <row r="7" spans="1:26" ht="14.1" customHeight="1" x14ac:dyDescent="0.25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50"/>
      <c r="U7" s="244"/>
      <c r="W7" s="1"/>
    </row>
    <row r="8" spans="1:26" ht="39.6" x14ac:dyDescent="0.25">
      <c r="A8" s="103" t="s">
        <v>76</v>
      </c>
      <c r="B8" s="104" t="s">
        <v>77</v>
      </c>
      <c r="C8" s="104" t="s">
        <v>37</v>
      </c>
      <c r="D8" s="105" t="s">
        <v>5</v>
      </c>
      <c r="E8" s="104" t="s">
        <v>34</v>
      </c>
      <c r="F8" s="104" t="s">
        <v>6</v>
      </c>
      <c r="G8" s="104" t="s">
        <v>7</v>
      </c>
      <c r="H8" s="104" t="s">
        <v>8</v>
      </c>
      <c r="I8" s="104" t="s">
        <v>78</v>
      </c>
      <c r="J8" s="104" t="s">
        <v>79</v>
      </c>
      <c r="K8" s="104" t="s">
        <v>80</v>
      </c>
      <c r="L8" s="104" t="s">
        <v>81</v>
      </c>
      <c r="M8" s="104" t="s">
        <v>82</v>
      </c>
      <c r="N8" s="104" t="s">
        <v>83</v>
      </c>
      <c r="O8" s="104" t="s">
        <v>84</v>
      </c>
      <c r="P8" s="104" t="s">
        <v>19</v>
      </c>
      <c r="Q8" s="104" t="s">
        <v>85</v>
      </c>
      <c r="R8" s="104" t="s">
        <v>14</v>
      </c>
      <c r="S8" s="104" t="s">
        <v>19</v>
      </c>
      <c r="T8" s="106" t="s">
        <v>86</v>
      </c>
      <c r="U8" s="97" t="s">
        <v>87</v>
      </c>
      <c r="W8" s="1"/>
    </row>
    <row r="9" spans="1:26" ht="7.35" customHeight="1" x14ac:dyDescent="0.25">
      <c r="A9" s="98"/>
      <c r="B9" s="119"/>
      <c r="C9" s="119"/>
      <c r="D9" s="119"/>
      <c r="E9" s="11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0"/>
      <c r="U9" s="101"/>
      <c r="W9" s="1"/>
    </row>
    <row r="10" spans="1:26" s="86" customFormat="1" ht="21" customHeight="1" x14ac:dyDescent="0.25">
      <c r="A10" s="152">
        <v>1</v>
      </c>
      <c r="B10" s="134"/>
      <c r="C10" s="134"/>
      <c r="D10" s="134"/>
      <c r="E10" s="251" t="s">
        <v>160</v>
      </c>
      <c r="F10" s="153"/>
      <c r="G10" s="154"/>
      <c r="H10" s="155"/>
      <c r="I10" s="156">
        <f t="shared" ref="I10:I18" si="0">(10*G10*H10*F10)/3600</f>
        <v>0</v>
      </c>
      <c r="J10" s="157"/>
      <c r="K10" s="156" t="e">
        <f>1/J10</f>
        <v>#DIV/0!</v>
      </c>
      <c r="L10" s="156" t="e">
        <f t="shared" ref="L10:L18" si="1">K10^0.5</f>
        <v>#DIV/0!</v>
      </c>
      <c r="M10" s="185">
        <v>8.9999999999999993E-3</v>
      </c>
      <c r="N10" s="154" t="e">
        <f>+((I10*M10)/(0.3118*L10))^0.375</f>
        <v>#DIV/0!</v>
      </c>
      <c r="O10" s="157" t="e">
        <f>N10*1000</f>
        <v>#DIV/0!</v>
      </c>
      <c r="P10" s="158" t="e">
        <f t="shared" ref="P10:P23" si="2">R10*0.397*N10^0.667*L10</f>
        <v>#DIV/0!</v>
      </c>
      <c r="Q10" s="135"/>
      <c r="R10" s="154">
        <f t="shared" ref="R10:R23" si="3">1/M10</f>
        <v>111.11111111111111</v>
      </c>
      <c r="S10" s="158" t="e">
        <f t="shared" ref="S10:S23" si="4">+(0.3118/M10)*(Q10^2.667)*L10*(4/(3.14*Q10*Q10))</f>
        <v>#DIV/0!</v>
      </c>
      <c r="T10" s="159" t="e">
        <f>IF(AND(S10&gt;=0.6),TRUE,FALSE)</f>
        <v>#DIV/0!</v>
      </c>
      <c r="U10" s="102" t="e">
        <f>+(R10*(3.118*10^-6)*((Q10*1000)^2.67)*L10)*0.001</f>
        <v>#DIV/0!</v>
      </c>
      <c r="W10" s="1"/>
    </row>
    <row r="11" spans="1:26" s="86" customFormat="1" ht="21" customHeight="1" x14ac:dyDescent="0.25">
      <c r="A11" s="152">
        <v>2</v>
      </c>
      <c r="B11" s="134"/>
      <c r="C11" s="134"/>
      <c r="D11" s="134"/>
      <c r="E11" s="252"/>
      <c r="F11" s="153"/>
      <c r="G11" s="154"/>
      <c r="H11" s="155"/>
      <c r="I11" s="156">
        <f t="shared" ref="I11" si="5">(10*G11*H11*F11)/3600</f>
        <v>0</v>
      </c>
      <c r="J11" s="157"/>
      <c r="K11" s="156" t="e">
        <f>1/J11</f>
        <v>#DIV/0!</v>
      </c>
      <c r="L11" s="156" t="e">
        <f t="shared" ref="L11" si="6">K11^0.5</f>
        <v>#DIV/0!</v>
      </c>
      <c r="M11" s="185">
        <v>8.9999999999999993E-3</v>
      </c>
      <c r="N11" s="154" t="e">
        <f>+((I11*M11)/(0.3118*L11))^0.375</f>
        <v>#DIV/0!</v>
      </c>
      <c r="O11" s="157" t="e">
        <f>N11*1000</f>
        <v>#DIV/0!</v>
      </c>
      <c r="P11" s="158" t="e">
        <f t="shared" si="2"/>
        <v>#DIV/0!</v>
      </c>
      <c r="Q11" s="135"/>
      <c r="R11" s="154">
        <f t="shared" si="3"/>
        <v>111.11111111111111</v>
      </c>
      <c r="S11" s="158" t="e">
        <f t="shared" si="4"/>
        <v>#DIV/0!</v>
      </c>
      <c r="T11" s="159" t="e">
        <f>IF(AND(S11&gt;=0.6),TRUE,FALSE)</f>
        <v>#DIV/0!</v>
      </c>
      <c r="U11" s="102"/>
      <c r="W11" s="1"/>
    </row>
    <row r="12" spans="1:26" s="86" customFormat="1" ht="21" customHeight="1" x14ac:dyDescent="0.25">
      <c r="A12" s="152">
        <v>3</v>
      </c>
      <c r="B12" s="134"/>
      <c r="C12" s="134"/>
      <c r="D12" s="134"/>
      <c r="E12" s="252"/>
      <c r="F12" s="153"/>
      <c r="G12" s="154"/>
      <c r="H12" s="155"/>
      <c r="I12" s="156">
        <f t="shared" si="0"/>
        <v>0</v>
      </c>
      <c r="J12" s="157"/>
      <c r="K12" s="156" t="e">
        <f t="shared" ref="K12" si="7">1/J12</f>
        <v>#DIV/0!</v>
      </c>
      <c r="L12" s="156" t="e">
        <f t="shared" si="1"/>
        <v>#DIV/0!</v>
      </c>
      <c r="M12" s="185">
        <v>8.9999999999999993E-3</v>
      </c>
      <c r="N12" s="154" t="e">
        <f t="shared" ref="N12:N18" si="8">+((I12*M12)/(0.3118*L12))^0.375</f>
        <v>#DIV/0!</v>
      </c>
      <c r="O12" s="157" t="e">
        <f t="shared" ref="O12:O18" si="9">N12*1000</f>
        <v>#DIV/0!</v>
      </c>
      <c r="P12" s="158" t="e">
        <f t="shared" si="2"/>
        <v>#DIV/0!</v>
      </c>
      <c r="Q12" s="135"/>
      <c r="R12" s="154">
        <f t="shared" si="3"/>
        <v>111.11111111111111</v>
      </c>
      <c r="S12" s="158" t="e">
        <f t="shared" si="4"/>
        <v>#DIV/0!</v>
      </c>
      <c r="T12" s="159" t="e">
        <f t="shared" ref="T12:T18" si="10">IF(AND(S12&gt;=0.6),TRUE,FALSE)</f>
        <v>#DIV/0!</v>
      </c>
      <c r="U12" s="102" t="e">
        <f>+(R12*(3.118*10^-6)*((Q12*1000)^2.67)*L12)*0.001</f>
        <v>#DIV/0!</v>
      </c>
      <c r="W12" s="1"/>
    </row>
    <row r="13" spans="1:26" s="86" customFormat="1" ht="21" customHeight="1" x14ac:dyDescent="0.25">
      <c r="A13" s="152">
        <v>4</v>
      </c>
      <c r="B13" s="134"/>
      <c r="C13" s="134"/>
      <c r="D13" s="134"/>
      <c r="E13" s="252"/>
      <c r="F13" s="153"/>
      <c r="G13" s="154"/>
      <c r="H13" s="155"/>
      <c r="I13" s="156">
        <f t="shared" si="0"/>
        <v>0</v>
      </c>
      <c r="J13" s="157"/>
      <c r="K13" s="156" t="e">
        <f t="shared" ref="K13:K18" si="11">1/J13</f>
        <v>#DIV/0!</v>
      </c>
      <c r="L13" s="156" t="e">
        <f t="shared" si="1"/>
        <v>#DIV/0!</v>
      </c>
      <c r="M13" s="185">
        <v>8.9999999999999993E-3</v>
      </c>
      <c r="N13" s="154" t="e">
        <f t="shared" si="8"/>
        <v>#DIV/0!</v>
      </c>
      <c r="O13" s="157" t="e">
        <f t="shared" si="9"/>
        <v>#DIV/0!</v>
      </c>
      <c r="P13" s="158" t="e">
        <f t="shared" si="2"/>
        <v>#DIV/0!</v>
      </c>
      <c r="Q13" s="135"/>
      <c r="R13" s="154">
        <f t="shared" si="3"/>
        <v>111.11111111111111</v>
      </c>
      <c r="S13" s="158" t="e">
        <f t="shared" si="4"/>
        <v>#DIV/0!</v>
      </c>
      <c r="T13" s="159" t="e">
        <f t="shared" si="10"/>
        <v>#DIV/0!</v>
      </c>
      <c r="U13" s="102" t="e">
        <f>+(#REF!*(3.118*10^-6)*((#REF!*1000)^2.67)*#REF!)*0.001</f>
        <v>#REF!</v>
      </c>
      <c r="W13" s="1"/>
    </row>
    <row r="14" spans="1:26" s="86" customFormat="1" ht="21" customHeight="1" x14ac:dyDescent="0.25">
      <c r="A14" s="152">
        <v>5</v>
      </c>
      <c r="B14" s="134"/>
      <c r="C14" s="134"/>
      <c r="D14" s="134"/>
      <c r="E14" s="252"/>
      <c r="F14" s="153"/>
      <c r="G14" s="154"/>
      <c r="H14" s="155"/>
      <c r="I14" s="156">
        <f t="shared" ref="I14" si="12">(10*G14*H14*F14)/3600</f>
        <v>0</v>
      </c>
      <c r="J14" s="157"/>
      <c r="K14" s="156" t="e">
        <f t="shared" ref="K14" si="13">1/J14</f>
        <v>#DIV/0!</v>
      </c>
      <c r="L14" s="156" t="e">
        <f t="shared" ref="L14" si="14">K14^0.5</f>
        <v>#DIV/0!</v>
      </c>
      <c r="M14" s="185">
        <v>8.9999999999999993E-3</v>
      </c>
      <c r="N14" s="154" t="e">
        <f t="shared" ref="N14" si="15">+((I14*M14)/(0.3118*L14))^0.375</f>
        <v>#DIV/0!</v>
      </c>
      <c r="O14" s="157" t="e">
        <f t="shared" ref="O14" si="16">N14*1000</f>
        <v>#DIV/0!</v>
      </c>
      <c r="P14" s="158" t="e">
        <f t="shared" si="2"/>
        <v>#DIV/0!</v>
      </c>
      <c r="Q14" s="135"/>
      <c r="R14" s="154">
        <f t="shared" si="3"/>
        <v>111.11111111111111</v>
      </c>
      <c r="S14" s="158" t="e">
        <f t="shared" si="4"/>
        <v>#DIV/0!</v>
      </c>
      <c r="T14" s="159" t="e">
        <f t="shared" ref="T14" si="17">IF(AND(S14&gt;=0.6),TRUE,FALSE)</f>
        <v>#DIV/0!</v>
      </c>
      <c r="U14" s="102"/>
      <c r="W14" s="1"/>
    </row>
    <row r="15" spans="1:26" s="86" customFormat="1" ht="21" customHeight="1" x14ac:dyDescent="0.25">
      <c r="A15" s="152">
        <v>6</v>
      </c>
      <c r="B15" s="134"/>
      <c r="C15" s="134"/>
      <c r="D15" s="134"/>
      <c r="E15" s="252"/>
      <c r="F15" s="153"/>
      <c r="G15" s="154"/>
      <c r="H15" s="155"/>
      <c r="I15" s="156">
        <f t="shared" ref="I15" si="18">(10*G15*H15*F15)/3600</f>
        <v>0</v>
      </c>
      <c r="J15" s="157"/>
      <c r="K15" s="156" t="e">
        <f t="shared" ref="K15" si="19">1/J15</f>
        <v>#DIV/0!</v>
      </c>
      <c r="L15" s="156" t="e">
        <f t="shared" ref="L15" si="20">K15^0.5</f>
        <v>#DIV/0!</v>
      </c>
      <c r="M15" s="185">
        <v>8.9999999999999993E-3</v>
      </c>
      <c r="N15" s="154" t="e">
        <f t="shared" ref="N15" si="21">+((I15*M15)/(0.3118*L15))^0.375</f>
        <v>#DIV/0!</v>
      </c>
      <c r="O15" s="157" t="e">
        <f t="shared" ref="O15" si="22">N15*1000</f>
        <v>#DIV/0!</v>
      </c>
      <c r="P15" s="158" t="e">
        <f t="shared" si="2"/>
        <v>#DIV/0!</v>
      </c>
      <c r="Q15" s="135"/>
      <c r="R15" s="154">
        <f t="shared" si="3"/>
        <v>111.11111111111111</v>
      </c>
      <c r="S15" s="158" t="e">
        <f t="shared" si="4"/>
        <v>#DIV/0!</v>
      </c>
      <c r="T15" s="159" t="e">
        <f t="shared" ref="T15" si="23">IF(AND(S15&gt;=0.6),TRUE,FALSE)</f>
        <v>#DIV/0!</v>
      </c>
      <c r="U15" s="102" t="e">
        <f>+(R13*(3.118*10^-6)*((Q13*1000)^2.67)*L13)*0.001</f>
        <v>#DIV/0!</v>
      </c>
    </row>
    <row r="16" spans="1:26" s="86" customFormat="1" ht="21" customHeight="1" x14ac:dyDescent="0.25">
      <c r="A16" s="152">
        <v>7</v>
      </c>
      <c r="B16" s="134"/>
      <c r="C16" s="134"/>
      <c r="D16" s="134"/>
      <c r="E16" s="252"/>
      <c r="F16" s="153"/>
      <c r="G16" s="154"/>
      <c r="H16" s="155"/>
      <c r="I16" s="156">
        <f t="shared" si="0"/>
        <v>0</v>
      </c>
      <c r="J16" s="157"/>
      <c r="K16" s="156" t="e">
        <f t="shared" si="11"/>
        <v>#DIV/0!</v>
      </c>
      <c r="L16" s="156" t="e">
        <f t="shared" si="1"/>
        <v>#DIV/0!</v>
      </c>
      <c r="M16" s="185">
        <v>8.9999999999999993E-3</v>
      </c>
      <c r="N16" s="154" t="e">
        <f t="shared" si="8"/>
        <v>#DIV/0!</v>
      </c>
      <c r="O16" s="157" t="e">
        <f t="shared" si="9"/>
        <v>#DIV/0!</v>
      </c>
      <c r="P16" s="158" t="e">
        <f t="shared" si="2"/>
        <v>#DIV/0!</v>
      </c>
      <c r="Q16" s="135"/>
      <c r="R16" s="154">
        <f t="shared" si="3"/>
        <v>111.11111111111111</v>
      </c>
      <c r="S16" s="158" t="e">
        <f t="shared" si="4"/>
        <v>#DIV/0!</v>
      </c>
      <c r="T16" s="159" t="e">
        <f t="shared" si="10"/>
        <v>#DIV/0!</v>
      </c>
      <c r="U16" s="102"/>
    </row>
    <row r="17" spans="1:21" s="86" customFormat="1" ht="21" customHeight="1" x14ac:dyDescent="0.25">
      <c r="A17" s="152">
        <v>8</v>
      </c>
      <c r="B17" s="134"/>
      <c r="C17" s="134"/>
      <c r="D17" s="134"/>
      <c r="E17" s="252"/>
      <c r="F17" s="160"/>
      <c r="G17" s="154"/>
      <c r="H17" s="155"/>
      <c r="I17" s="156">
        <f t="shared" si="0"/>
        <v>0</v>
      </c>
      <c r="J17" s="157"/>
      <c r="K17" s="156" t="e">
        <f t="shared" si="11"/>
        <v>#DIV/0!</v>
      </c>
      <c r="L17" s="156" t="e">
        <f t="shared" si="1"/>
        <v>#DIV/0!</v>
      </c>
      <c r="M17" s="185">
        <v>8.9999999999999993E-3</v>
      </c>
      <c r="N17" s="154" t="e">
        <f t="shared" si="8"/>
        <v>#DIV/0!</v>
      </c>
      <c r="O17" s="157" t="e">
        <f t="shared" si="9"/>
        <v>#DIV/0!</v>
      </c>
      <c r="P17" s="154" t="e">
        <f t="shared" si="2"/>
        <v>#DIV/0!</v>
      </c>
      <c r="Q17" s="135"/>
      <c r="R17" s="154">
        <f t="shared" si="3"/>
        <v>111.11111111111111</v>
      </c>
      <c r="S17" s="154" t="e">
        <f t="shared" si="4"/>
        <v>#DIV/0!</v>
      </c>
      <c r="T17" s="159" t="e">
        <f t="shared" si="10"/>
        <v>#DIV/0!</v>
      </c>
      <c r="U17" s="102" t="e">
        <f>+(#REF!*(3.118*10^-6)*((#REF!*1000)^2.67)*#REF!)*0.001</f>
        <v>#REF!</v>
      </c>
    </row>
    <row r="18" spans="1:21" s="86" customFormat="1" ht="21" customHeight="1" x14ac:dyDescent="0.25">
      <c r="A18" s="152">
        <v>9</v>
      </c>
      <c r="B18" s="134"/>
      <c r="C18" s="134"/>
      <c r="D18" s="134"/>
      <c r="E18" s="252"/>
      <c r="F18" s="160"/>
      <c r="G18" s="154"/>
      <c r="H18" s="155"/>
      <c r="I18" s="156">
        <f t="shared" si="0"/>
        <v>0</v>
      </c>
      <c r="J18" s="157"/>
      <c r="K18" s="156" t="e">
        <f t="shared" si="11"/>
        <v>#DIV/0!</v>
      </c>
      <c r="L18" s="156" t="e">
        <f t="shared" si="1"/>
        <v>#DIV/0!</v>
      </c>
      <c r="M18" s="185">
        <v>8.9999999999999993E-3</v>
      </c>
      <c r="N18" s="154" t="e">
        <f t="shared" si="8"/>
        <v>#DIV/0!</v>
      </c>
      <c r="O18" s="157" t="e">
        <f t="shared" si="9"/>
        <v>#DIV/0!</v>
      </c>
      <c r="P18" s="154" t="e">
        <f t="shared" si="2"/>
        <v>#DIV/0!</v>
      </c>
      <c r="Q18" s="135"/>
      <c r="R18" s="154">
        <f t="shared" si="3"/>
        <v>111.11111111111111</v>
      </c>
      <c r="S18" s="154" t="e">
        <f t="shared" si="4"/>
        <v>#DIV/0!</v>
      </c>
      <c r="T18" s="159" t="e">
        <f t="shared" si="10"/>
        <v>#DIV/0!</v>
      </c>
      <c r="U18" s="102" t="e">
        <f>+(R17*(3.118*10^-6)*((Q17*1000)^2.67)*L17)*0.001</f>
        <v>#DIV/0!</v>
      </c>
    </row>
    <row r="19" spans="1:21" s="86" customFormat="1" ht="21" customHeight="1" x14ac:dyDescent="0.25">
      <c r="A19" s="152">
        <v>10</v>
      </c>
      <c r="B19" s="134"/>
      <c r="C19" s="134"/>
      <c r="D19" s="134"/>
      <c r="E19" s="252"/>
      <c r="F19" s="160"/>
      <c r="G19" s="154"/>
      <c r="H19" s="155"/>
      <c r="I19" s="156">
        <f t="shared" ref="I19:I21" si="24">(10*G19*H19*F19)/3600</f>
        <v>0</v>
      </c>
      <c r="J19" s="157"/>
      <c r="K19" s="156" t="e">
        <f t="shared" ref="K19:K21" si="25">1/J19</f>
        <v>#DIV/0!</v>
      </c>
      <c r="L19" s="156" t="e">
        <f t="shared" ref="L19:L21" si="26">K19^0.5</f>
        <v>#DIV/0!</v>
      </c>
      <c r="M19" s="185">
        <v>8.9999999999999993E-3</v>
      </c>
      <c r="N19" s="154" t="e">
        <f t="shared" ref="N19:N21" si="27">+((I19*M19)/(0.3118*L19))^0.375</f>
        <v>#DIV/0!</v>
      </c>
      <c r="O19" s="157" t="e">
        <f t="shared" ref="O19:O21" si="28">N19*1000</f>
        <v>#DIV/0!</v>
      </c>
      <c r="P19" s="154" t="e">
        <f t="shared" si="2"/>
        <v>#DIV/0!</v>
      </c>
      <c r="Q19" s="135"/>
      <c r="R19" s="154">
        <f t="shared" si="3"/>
        <v>111.11111111111111</v>
      </c>
      <c r="S19" s="154" t="e">
        <f t="shared" si="4"/>
        <v>#DIV/0!</v>
      </c>
      <c r="T19" s="159" t="e">
        <f t="shared" ref="T19:T21" si="29">IF(AND(S19&gt;=0.6),TRUE,FALSE)</f>
        <v>#DIV/0!</v>
      </c>
      <c r="U19" s="102" t="e">
        <f>+(R18*(3.118*10^-6)*((Q18*1000)^2.67)*L18)*0.001</f>
        <v>#DIV/0!</v>
      </c>
    </row>
    <row r="20" spans="1:21" s="86" customFormat="1" ht="21" customHeight="1" x14ac:dyDescent="0.25">
      <c r="A20" s="152">
        <v>11</v>
      </c>
      <c r="B20" s="134"/>
      <c r="C20" s="134"/>
      <c r="D20" s="134"/>
      <c r="E20" s="252"/>
      <c r="F20" s="160"/>
      <c r="G20" s="154"/>
      <c r="H20" s="155"/>
      <c r="I20" s="156">
        <f t="shared" si="24"/>
        <v>0</v>
      </c>
      <c r="J20" s="157"/>
      <c r="K20" s="156" t="e">
        <f t="shared" si="25"/>
        <v>#DIV/0!</v>
      </c>
      <c r="L20" s="156" t="e">
        <f t="shared" si="26"/>
        <v>#DIV/0!</v>
      </c>
      <c r="M20" s="185">
        <v>8.9999999999999993E-3</v>
      </c>
      <c r="N20" s="154" t="e">
        <f t="shared" si="27"/>
        <v>#DIV/0!</v>
      </c>
      <c r="O20" s="157" t="e">
        <f t="shared" si="28"/>
        <v>#DIV/0!</v>
      </c>
      <c r="P20" s="154" t="e">
        <f t="shared" si="2"/>
        <v>#DIV/0!</v>
      </c>
      <c r="Q20" s="135"/>
      <c r="R20" s="154">
        <f t="shared" si="3"/>
        <v>111.11111111111111</v>
      </c>
      <c r="S20" s="154" t="e">
        <f t="shared" si="4"/>
        <v>#DIV/0!</v>
      </c>
      <c r="T20" s="159" t="e">
        <f t="shared" si="29"/>
        <v>#DIV/0!</v>
      </c>
      <c r="U20" s="118"/>
    </row>
    <row r="21" spans="1:21" s="86" customFormat="1" ht="21" customHeight="1" x14ac:dyDescent="0.25">
      <c r="A21" s="152">
        <v>12</v>
      </c>
      <c r="B21" s="134"/>
      <c r="C21" s="134"/>
      <c r="D21" s="134"/>
      <c r="E21" s="252"/>
      <c r="F21" s="160"/>
      <c r="G21" s="154"/>
      <c r="H21" s="155"/>
      <c r="I21" s="156">
        <f t="shared" si="24"/>
        <v>0</v>
      </c>
      <c r="J21" s="157"/>
      <c r="K21" s="156" t="e">
        <f t="shared" si="25"/>
        <v>#DIV/0!</v>
      </c>
      <c r="L21" s="156" t="e">
        <f t="shared" si="26"/>
        <v>#DIV/0!</v>
      </c>
      <c r="M21" s="185">
        <v>8.9999999999999993E-3</v>
      </c>
      <c r="N21" s="154" t="e">
        <f t="shared" si="27"/>
        <v>#DIV/0!</v>
      </c>
      <c r="O21" s="157" t="e">
        <f t="shared" si="28"/>
        <v>#DIV/0!</v>
      </c>
      <c r="P21" s="154" t="e">
        <f t="shared" si="2"/>
        <v>#DIV/0!</v>
      </c>
      <c r="Q21" s="135"/>
      <c r="R21" s="154">
        <f t="shared" si="3"/>
        <v>111.11111111111111</v>
      </c>
      <c r="S21" s="154" t="e">
        <f t="shared" si="4"/>
        <v>#DIV/0!</v>
      </c>
      <c r="T21" s="159" t="e">
        <f t="shared" si="29"/>
        <v>#DIV/0!</v>
      </c>
      <c r="U21" s="118"/>
    </row>
    <row r="22" spans="1:21" s="86" customFormat="1" ht="21" customHeight="1" x14ac:dyDescent="0.25">
      <c r="A22" s="152">
        <v>13</v>
      </c>
      <c r="B22" s="134"/>
      <c r="C22" s="134"/>
      <c r="D22" s="134"/>
      <c r="E22" s="252"/>
      <c r="F22" s="160"/>
      <c r="G22" s="154"/>
      <c r="H22" s="155"/>
      <c r="I22" s="156">
        <f t="shared" ref="I22:I23" si="30">(10*G22*H22*F22)/3600</f>
        <v>0</v>
      </c>
      <c r="J22" s="157"/>
      <c r="K22" s="156" t="e">
        <f t="shared" ref="K22:K23" si="31">1/J22</f>
        <v>#DIV/0!</v>
      </c>
      <c r="L22" s="156" t="e">
        <f t="shared" ref="L22:L23" si="32">K22^0.5</f>
        <v>#DIV/0!</v>
      </c>
      <c r="M22" s="185">
        <v>8.9999999999999993E-3</v>
      </c>
      <c r="N22" s="154" t="e">
        <f t="shared" ref="N22:N23" si="33">+((I22*M22)/(0.3118*L22))^0.375</f>
        <v>#DIV/0!</v>
      </c>
      <c r="O22" s="157" t="e">
        <f t="shared" ref="O22:O23" si="34">N22*1000</f>
        <v>#DIV/0!</v>
      </c>
      <c r="P22" s="154" t="e">
        <f t="shared" si="2"/>
        <v>#DIV/0!</v>
      </c>
      <c r="Q22" s="135"/>
      <c r="R22" s="154">
        <f t="shared" si="3"/>
        <v>111.11111111111111</v>
      </c>
      <c r="S22" s="154" t="e">
        <f t="shared" si="4"/>
        <v>#DIV/0!</v>
      </c>
      <c r="T22" s="159" t="e">
        <f t="shared" ref="T22:T23" si="35">IF(AND(S22&gt;=0.6),TRUE,FALSE)</f>
        <v>#DIV/0!</v>
      </c>
      <c r="U22" s="118"/>
    </row>
    <row r="23" spans="1:21" s="86" customFormat="1" ht="21" customHeight="1" x14ac:dyDescent="0.25">
      <c r="A23" s="152">
        <v>14</v>
      </c>
      <c r="B23" s="134"/>
      <c r="C23" s="134"/>
      <c r="D23" s="134"/>
      <c r="E23" s="253"/>
      <c r="F23" s="160"/>
      <c r="G23" s="154"/>
      <c r="H23" s="155"/>
      <c r="I23" s="156">
        <f t="shared" si="30"/>
        <v>0</v>
      </c>
      <c r="J23" s="157"/>
      <c r="K23" s="156" t="e">
        <f t="shared" si="31"/>
        <v>#DIV/0!</v>
      </c>
      <c r="L23" s="156" t="e">
        <f t="shared" si="32"/>
        <v>#DIV/0!</v>
      </c>
      <c r="M23" s="185">
        <v>8.9999999999999993E-3</v>
      </c>
      <c r="N23" s="154" t="e">
        <f t="shared" si="33"/>
        <v>#DIV/0!</v>
      </c>
      <c r="O23" s="157" t="e">
        <f t="shared" si="34"/>
        <v>#DIV/0!</v>
      </c>
      <c r="P23" s="154" t="e">
        <f t="shared" si="2"/>
        <v>#DIV/0!</v>
      </c>
      <c r="Q23" s="135"/>
      <c r="R23" s="154">
        <f t="shared" si="3"/>
        <v>111.11111111111111</v>
      </c>
      <c r="S23" s="154" t="e">
        <f t="shared" si="4"/>
        <v>#DIV/0!</v>
      </c>
      <c r="T23" s="159" t="e">
        <f t="shared" si="35"/>
        <v>#DIV/0!</v>
      </c>
      <c r="U23" s="118"/>
    </row>
    <row r="24" spans="1:21" s="86" customFormat="1" ht="21" customHeight="1" x14ac:dyDescent="0.25">
      <c r="A24" s="161"/>
      <c r="B24" s="134"/>
      <c r="C24" s="134"/>
      <c r="D24" s="155"/>
      <c r="E24" s="155"/>
      <c r="F24" s="154"/>
      <c r="G24" s="154"/>
      <c r="H24" s="155"/>
      <c r="I24" s="156"/>
      <c r="J24" s="157"/>
      <c r="K24" s="156"/>
      <c r="L24" s="156"/>
      <c r="M24" s="185"/>
      <c r="N24" s="154"/>
      <c r="O24" s="157"/>
      <c r="P24" s="154"/>
      <c r="Q24" s="135"/>
      <c r="R24" s="154"/>
      <c r="S24" s="154"/>
      <c r="T24" s="159"/>
      <c r="U24" s="118"/>
    </row>
    <row r="25" spans="1:21" s="86" customFormat="1" ht="21" customHeight="1" x14ac:dyDescent="0.25">
      <c r="A25" s="161">
        <v>15</v>
      </c>
      <c r="B25" s="134"/>
      <c r="C25" s="134"/>
      <c r="D25" s="155"/>
      <c r="E25" s="240" t="s">
        <v>159</v>
      </c>
      <c r="F25" s="154"/>
      <c r="G25" s="154"/>
      <c r="H25" s="155"/>
      <c r="I25" s="156">
        <f t="shared" ref="I25:I26" si="36">(10*G25*H25*F25)/3600</f>
        <v>0</v>
      </c>
      <c r="J25" s="157"/>
      <c r="K25" s="156" t="e">
        <f t="shared" ref="K25:K26" si="37">1/J25</f>
        <v>#DIV/0!</v>
      </c>
      <c r="L25" s="156" t="e">
        <f t="shared" ref="L25:L26" si="38">K25^0.5</f>
        <v>#DIV/0!</v>
      </c>
      <c r="M25" s="185">
        <v>8.9999999999999993E-3</v>
      </c>
      <c r="N25" s="154" t="e">
        <f t="shared" ref="N25:N26" si="39">+((I25*M25)/(0.3118*L25))^0.375</f>
        <v>#DIV/0!</v>
      </c>
      <c r="O25" s="157" t="e">
        <f t="shared" ref="O25:O26" si="40">N25*1000</f>
        <v>#DIV/0!</v>
      </c>
      <c r="P25" s="154" t="e">
        <f t="shared" ref="P25:P30" si="41">R25*0.397*N25^0.667*L25</f>
        <v>#DIV/0!</v>
      </c>
      <c r="Q25" s="135"/>
      <c r="R25" s="154">
        <f t="shared" ref="R25:R30" si="42">1/M25</f>
        <v>111.11111111111111</v>
      </c>
      <c r="S25" s="154" t="e">
        <f t="shared" ref="S25:S30" si="43">+(0.3118/M25)*(Q25^2.667)*L25*(4/(3.14*Q25*Q25))</f>
        <v>#DIV/0!</v>
      </c>
      <c r="T25" s="159" t="e">
        <f t="shared" ref="T25:T26" si="44">IF(AND(S25&gt;=0.6),TRUE,FALSE)</f>
        <v>#DIV/0!</v>
      </c>
      <c r="U25" s="118"/>
    </row>
    <row r="26" spans="1:21" s="86" customFormat="1" ht="21" customHeight="1" x14ac:dyDescent="0.25">
      <c r="A26" s="161">
        <v>16</v>
      </c>
      <c r="B26" s="134"/>
      <c r="C26" s="134"/>
      <c r="D26" s="155"/>
      <c r="E26" s="242"/>
      <c r="F26" s="154"/>
      <c r="G26" s="154"/>
      <c r="H26" s="155"/>
      <c r="I26" s="156">
        <f t="shared" si="36"/>
        <v>0</v>
      </c>
      <c r="J26" s="157"/>
      <c r="K26" s="156" t="e">
        <f t="shared" si="37"/>
        <v>#DIV/0!</v>
      </c>
      <c r="L26" s="156" t="e">
        <f t="shared" si="38"/>
        <v>#DIV/0!</v>
      </c>
      <c r="M26" s="185">
        <v>8.9999999999999993E-3</v>
      </c>
      <c r="N26" s="154" t="e">
        <f t="shared" si="39"/>
        <v>#DIV/0!</v>
      </c>
      <c r="O26" s="157" t="e">
        <f t="shared" si="40"/>
        <v>#DIV/0!</v>
      </c>
      <c r="P26" s="154" t="e">
        <f t="shared" si="41"/>
        <v>#DIV/0!</v>
      </c>
      <c r="Q26" s="135"/>
      <c r="R26" s="154">
        <f t="shared" si="42"/>
        <v>111.11111111111111</v>
      </c>
      <c r="S26" s="154" t="e">
        <f t="shared" si="43"/>
        <v>#DIV/0!</v>
      </c>
      <c r="T26" s="159" t="e">
        <f t="shared" si="44"/>
        <v>#DIV/0!</v>
      </c>
      <c r="U26" s="118"/>
    </row>
    <row r="27" spans="1:21" s="86" customFormat="1" ht="21" customHeight="1" x14ac:dyDescent="0.25">
      <c r="A27" s="161">
        <v>17</v>
      </c>
      <c r="B27" s="134"/>
      <c r="C27" s="134"/>
      <c r="D27" s="155"/>
      <c r="E27" s="242"/>
      <c r="F27" s="154"/>
      <c r="G27" s="154"/>
      <c r="H27" s="155"/>
      <c r="I27" s="156">
        <f t="shared" ref="I27" si="45">(10*G27*H27*F27)/3600</f>
        <v>0</v>
      </c>
      <c r="J27" s="157"/>
      <c r="K27" s="156" t="e">
        <f t="shared" ref="K27" si="46">1/J27</f>
        <v>#DIV/0!</v>
      </c>
      <c r="L27" s="156" t="e">
        <f t="shared" ref="L27" si="47">K27^0.5</f>
        <v>#DIV/0!</v>
      </c>
      <c r="M27" s="185">
        <v>8.9999999999999993E-3</v>
      </c>
      <c r="N27" s="154" t="e">
        <f t="shared" ref="N27" si="48">+((I27*M27)/(0.3118*L27))^0.375</f>
        <v>#DIV/0!</v>
      </c>
      <c r="O27" s="157" t="e">
        <f t="shared" ref="O27" si="49">N27*1000</f>
        <v>#DIV/0!</v>
      </c>
      <c r="P27" s="154" t="e">
        <f t="shared" si="41"/>
        <v>#DIV/0!</v>
      </c>
      <c r="Q27" s="135"/>
      <c r="R27" s="154">
        <f t="shared" si="42"/>
        <v>111.11111111111111</v>
      </c>
      <c r="S27" s="154" t="e">
        <f t="shared" si="43"/>
        <v>#DIV/0!</v>
      </c>
      <c r="T27" s="159" t="e">
        <f t="shared" ref="T27" si="50">IF(AND(S27&gt;=0.6),TRUE,FALSE)</f>
        <v>#DIV/0!</v>
      </c>
      <c r="U27" s="118"/>
    </row>
    <row r="28" spans="1:21" s="86" customFormat="1" ht="21" customHeight="1" x14ac:dyDescent="0.25">
      <c r="A28" s="161">
        <v>18</v>
      </c>
      <c r="B28" s="134"/>
      <c r="C28" s="134"/>
      <c r="D28" s="155"/>
      <c r="E28" s="242"/>
      <c r="F28" s="154"/>
      <c r="G28" s="154"/>
      <c r="H28" s="155"/>
      <c r="I28" s="156">
        <f t="shared" ref="I28" si="51">(10*G28*H28*F28)/3600</f>
        <v>0</v>
      </c>
      <c r="J28" s="157"/>
      <c r="K28" s="156" t="e">
        <f t="shared" ref="K28" si="52">1/J28</f>
        <v>#DIV/0!</v>
      </c>
      <c r="L28" s="156" t="e">
        <f t="shared" ref="L28" si="53">K28^0.5</f>
        <v>#DIV/0!</v>
      </c>
      <c r="M28" s="185">
        <v>8.9999999999999993E-3</v>
      </c>
      <c r="N28" s="154" t="e">
        <f t="shared" ref="N28" si="54">+((I28*M28)/(0.3118*L28))^0.375</f>
        <v>#DIV/0!</v>
      </c>
      <c r="O28" s="157" t="e">
        <f t="shared" ref="O28" si="55">N28*1000</f>
        <v>#DIV/0!</v>
      </c>
      <c r="P28" s="154" t="e">
        <f t="shared" si="41"/>
        <v>#DIV/0!</v>
      </c>
      <c r="Q28" s="135"/>
      <c r="R28" s="154">
        <f t="shared" si="42"/>
        <v>111.11111111111111</v>
      </c>
      <c r="S28" s="154" t="e">
        <f t="shared" si="43"/>
        <v>#DIV/0!</v>
      </c>
      <c r="T28" s="159" t="e">
        <f t="shared" ref="T28" si="56">IF(AND(S28&gt;=0.6),TRUE,FALSE)</f>
        <v>#DIV/0!</v>
      </c>
      <c r="U28" s="118"/>
    </row>
    <row r="29" spans="1:21" s="86" customFormat="1" ht="21" customHeight="1" x14ac:dyDescent="0.25">
      <c r="A29" s="161">
        <v>19</v>
      </c>
      <c r="B29" s="134"/>
      <c r="C29" s="134"/>
      <c r="D29" s="155"/>
      <c r="E29" s="242"/>
      <c r="F29" s="154"/>
      <c r="G29" s="154"/>
      <c r="H29" s="155"/>
      <c r="I29" s="156">
        <f t="shared" ref="I29" si="57">(10*G29*H29*F29)/3600</f>
        <v>0</v>
      </c>
      <c r="J29" s="157"/>
      <c r="K29" s="156" t="e">
        <f t="shared" ref="K29" si="58">1/J29</f>
        <v>#DIV/0!</v>
      </c>
      <c r="L29" s="156" t="e">
        <f t="shared" ref="L29" si="59">K29^0.5</f>
        <v>#DIV/0!</v>
      </c>
      <c r="M29" s="185">
        <v>8.9999999999999993E-3</v>
      </c>
      <c r="N29" s="154" t="e">
        <f t="shared" ref="N29" si="60">+((I29*M29)/(0.3118*L29))^0.375</f>
        <v>#DIV/0!</v>
      </c>
      <c r="O29" s="157" t="e">
        <f t="shared" ref="O29" si="61">N29*1000</f>
        <v>#DIV/0!</v>
      </c>
      <c r="P29" s="154" t="e">
        <f t="shared" si="41"/>
        <v>#DIV/0!</v>
      </c>
      <c r="Q29" s="135"/>
      <c r="R29" s="154">
        <f t="shared" si="42"/>
        <v>111.11111111111111</v>
      </c>
      <c r="S29" s="154" t="e">
        <f t="shared" si="43"/>
        <v>#DIV/0!</v>
      </c>
      <c r="T29" s="159" t="e">
        <f t="shared" ref="T29" si="62">IF(AND(S29&gt;=0.6),TRUE,FALSE)</f>
        <v>#DIV/0!</v>
      </c>
      <c r="U29" s="118"/>
    </row>
    <row r="30" spans="1:21" s="86" customFormat="1" ht="21" customHeight="1" x14ac:dyDescent="0.25">
      <c r="A30" s="161">
        <v>20</v>
      </c>
      <c r="B30" s="134"/>
      <c r="C30" s="134"/>
      <c r="D30" s="155"/>
      <c r="E30" s="241"/>
      <c r="F30" s="154"/>
      <c r="G30" s="154"/>
      <c r="H30" s="155"/>
      <c r="I30" s="156">
        <f t="shared" ref="I30" si="63">(10*G30*H30*F30)/3600</f>
        <v>0</v>
      </c>
      <c r="J30" s="157"/>
      <c r="K30" s="156" t="e">
        <f t="shared" ref="K30" si="64">1/J30</f>
        <v>#DIV/0!</v>
      </c>
      <c r="L30" s="156" t="e">
        <f t="shared" ref="L30" si="65">K30^0.5</f>
        <v>#DIV/0!</v>
      </c>
      <c r="M30" s="185">
        <v>8.9999999999999993E-3</v>
      </c>
      <c r="N30" s="154" t="e">
        <f t="shared" ref="N30" si="66">+((I30*M30)/(0.3118*L30))^0.375</f>
        <v>#DIV/0!</v>
      </c>
      <c r="O30" s="157" t="e">
        <f t="shared" ref="O30" si="67">N30*1000</f>
        <v>#DIV/0!</v>
      </c>
      <c r="P30" s="154" t="e">
        <f t="shared" si="41"/>
        <v>#DIV/0!</v>
      </c>
      <c r="Q30" s="135"/>
      <c r="R30" s="154">
        <f t="shared" si="42"/>
        <v>111.11111111111111</v>
      </c>
      <c r="S30" s="154" t="e">
        <f t="shared" si="43"/>
        <v>#DIV/0!</v>
      </c>
      <c r="T30" s="159" t="e">
        <f t="shared" ref="T30" si="68">IF(AND(S30&gt;=0.6),TRUE,FALSE)</f>
        <v>#DIV/0!</v>
      </c>
      <c r="U30" s="118"/>
    </row>
    <row r="31" spans="1:21" s="86" customFormat="1" ht="21" customHeight="1" x14ac:dyDescent="0.25">
      <c r="A31" s="161"/>
      <c r="B31" s="134"/>
      <c r="C31" s="134"/>
      <c r="D31" s="155"/>
      <c r="E31" s="134"/>
      <c r="F31" s="154"/>
      <c r="G31" s="154"/>
      <c r="H31" s="155"/>
      <c r="I31" s="156"/>
      <c r="J31" s="157"/>
      <c r="K31" s="156"/>
      <c r="L31" s="156"/>
      <c r="M31" s="185"/>
      <c r="N31" s="154"/>
      <c r="O31" s="157"/>
      <c r="P31" s="154"/>
      <c r="Q31" s="135"/>
      <c r="R31" s="154"/>
      <c r="S31" s="154"/>
      <c r="T31" s="159"/>
      <c r="U31" s="118"/>
    </row>
    <row r="32" spans="1:21" s="86" customFormat="1" ht="21" customHeight="1" x14ac:dyDescent="0.25">
      <c r="A32" s="161">
        <v>21</v>
      </c>
      <c r="B32" s="134"/>
      <c r="C32" s="134"/>
      <c r="D32" s="155"/>
      <c r="E32" s="240" t="s">
        <v>157</v>
      </c>
      <c r="F32" s="154"/>
      <c r="G32" s="154"/>
      <c r="H32" s="155"/>
      <c r="I32" s="156">
        <f t="shared" ref="I32:I35" si="69">(10*G32*H32*F32)/3600</f>
        <v>0</v>
      </c>
      <c r="J32" s="157"/>
      <c r="K32" s="156" t="e">
        <f t="shared" ref="K32:K35" si="70">1/J32</f>
        <v>#DIV/0!</v>
      </c>
      <c r="L32" s="156" t="e">
        <f t="shared" ref="L32:L35" si="71">K32^0.5</f>
        <v>#DIV/0!</v>
      </c>
      <c r="M32" s="185">
        <v>8.9999999999999993E-3</v>
      </c>
      <c r="N32" s="154" t="e">
        <f t="shared" ref="N32:N35" si="72">+((I32*M32)/(0.3118*L32))^0.375</f>
        <v>#DIV/0!</v>
      </c>
      <c r="O32" s="157" t="e">
        <f t="shared" ref="O32:O35" si="73">N32*1000</f>
        <v>#DIV/0!</v>
      </c>
      <c r="P32" s="154" t="e">
        <f t="shared" ref="P32:P39" si="74">R32*0.397*N32^0.667*L32</f>
        <v>#DIV/0!</v>
      </c>
      <c r="Q32" s="135"/>
      <c r="R32" s="154">
        <f t="shared" ref="R32:R39" si="75">1/M32</f>
        <v>111.11111111111111</v>
      </c>
      <c r="S32" s="154" t="e">
        <f t="shared" ref="S32:S39" si="76">+(0.3118/M32)*(Q32^2.667)*L32*(4/(3.14*Q32*Q32))</f>
        <v>#DIV/0!</v>
      </c>
      <c r="T32" s="159" t="e">
        <f t="shared" ref="T32:T35" si="77">IF(AND(S32&gt;=0.6),TRUE,FALSE)</f>
        <v>#DIV/0!</v>
      </c>
      <c r="U32" s="118"/>
    </row>
    <row r="33" spans="1:24" s="86" customFormat="1" ht="21" customHeight="1" x14ac:dyDescent="0.25">
      <c r="A33" s="161">
        <v>22</v>
      </c>
      <c r="B33" s="134"/>
      <c r="C33" s="134"/>
      <c r="D33" s="155"/>
      <c r="E33" s="242"/>
      <c r="F33" s="154"/>
      <c r="G33" s="154"/>
      <c r="H33" s="155"/>
      <c r="I33" s="156">
        <f t="shared" si="69"/>
        <v>0</v>
      </c>
      <c r="J33" s="157"/>
      <c r="K33" s="156" t="e">
        <f t="shared" si="70"/>
        <v>#DIV/0!</v>
      </c>
      <c r="L33" s="156" t="e">
        <f t="shared" si="71"/>
        <v>#DIV/0!</v>
      </c>
      <c r="M33" s="185">
        <v>8.9999999999999993E-3</v>
      </c>
      <c r="N33" s="154" t="e">
        <f t="shared" si="72"/>
        <v>#DIV/0!</v>
      </c>
      <c r="O33" s="157" t="e">
        <f t="shared" si="73"/>
        <v>#DIV/0!</v>
      </c>
      <c r="P33" s="154" t="e">
        <f t="shared" si="74"/>
        <v>#DIV/0!</v>
      </c>
      <c r="Q33" s="135"/>
      <c r="R33" s="154">
        <f t="shared" si="75"/>
        <v>111.11111111111111</v>
      </c>
      <c r="S33" s="154" t="e">
        <f t="shared" si="76"/>
        <v>#DIV/0!</v>
      </c>
      <c r="T33" s="159" t="e">
        <f t="shared" si="77"/>
        <v>#DIV/0!</v>
      </c>
      <c r="U33" s="118"/>
    </row>
    <row r="34" spans="1:24" s="86" customFormat="1" ht="21" customHeight="1" x14ac:dyDescent="0.25">
      <c r="A34" s="161">
        <v>23</v>
      </c>
      <c r="B34" s="134"/>
      <c r="C34" s="134"/>
      <c r="D34" s="155"/>
      <c r="E34" s="242"/>
      <c r="F34" s="154"/>
      <c r="G34" s="154"/>
      <c r="H34" s="155"/>
      <c r="I34" s="156">
        <f t="shared" ref="I34" si="78">(10*G34*H34*F34)/3600</f>
        <v>0</v>
      </c>
      <c r="J34" s="157"/>
      <c r="K34" s="156" t="e">
        <f t="shared" ref="K34" si="79">1/J34</f>
        <v>#DIV/0!</v>
      </c>
      <c r="L34" s="156" t="e">
        <f t="shared" ref="L34" si="80">K34^0.5</f>
        <v>#DIV/0!</v>
      </c>
      <c r="M34" s="185">
        <v>8.9999999999999993E-3</v>
      </c>
      <c r="N34" s="154" t="e">
        <f t="shared" ref="N34" si="81">+((I34*M34)/(0.3118*L34))^0.375</f>
        <v>#DIV/0!</v>
      </c>
      <c r="O34" s="157" t="e">
        <f t="shared" ref="O34" si="82">N34*1000</f>
        <v>#DIV/0!</v>
      </c>
      <c r="P34" s="154" t="e">
        <f t="shared" si="74"/>
        <v>#DIV/0!</v>
      </c>
      <c r="Q34" s="135"/>
      <c r="R34" s="154">
        <f t="shared" si="75"/>
        <v>111.11111111111111</v>
      </c>
      <c r="S34" s="154" t="e">
        <f t="shared" si="76"/>
        <v>#DIV/0!</v>
      </c>
      <c r="T34" s="159" t="e">
        <f t="shared" ref="T34" si="83">IF(AND(S34&gt;=0.6),TRUE,FALSE)</f>
        <v>#DIV/0!</v>
      </c>
      <c r="U34" s="118"/>
    </row>
    <row r="35" spans="1:24" s="86" customFormat="1" ht="21" customHeight="1" x14ac:dyDescent="0.25">
      <c r="A35" s="161">
        <v>24</v>
      </c>
      <c r="B35" s="134"/>
      <c r="C35" s="134"/>
      <c r="D35" s="155"/>
      <c r="E35" s="242"/>
      <c r="F35" s="154"/>
      <c r="G35" s="154"/>
      <c r="H35" s="155"/>
      <c r="I35" s="156">
        <f t="shared" si="69"/>
        <v>0</v>
      </c>
      <c r="J35" s="157"/>
      <c r="K35" s="156" t="e">
        <f t="shared" si="70"/>
        <v>#DIV/0!</v>
      </c>
      <c r="L35" s="156" t="e">
        <f t="shared" si="71"/>
        <v>#DIV/0!</v>
      </c>
      <c r="M35" s="185">
        <v>8.9999999999999993E-3</v>
      </c>
      <c r="N35" s="154" t="e">
        <f t="shared" si="72"/>
        <v>#DIV/0!</v>
      </c>
      <c r="O35" s="157" t="e">
        <f t="shared" si="73"/>
        <v>#DIV/0!</v>
      </c>
      <c r="P35" s="154" t="e">
        <f t="shared" si="74"/>
        <v>#DIV/0!</v>
      </c>
      <c r="Q35" s="135"/>
      <c r="R35" s="154">
        <f t="shared" si="75"/>
        <v>111.11111111111111</v>
      </c>
      <c r="S35" s="154" t="e">
        <f t="shared" si="76"/>
        <v>#DIV/0!</v>
      </c>
      <c r="T35" s="159" t="e">
        <f t="shared" si="77"/>
        <v>#DIV/0!</v>
      </c>
      <c r="U35" s="118"/>
    </row>
    <row r="36" spans="1:24" s="86" customFormat="1" ht="21" customHeight="1" x14ac:dyDescent="0.25">
      <c r="A36" s="161">
        <v>25</v>
      </c>
      <c r="B36" s="134"/>
      <c r="C36" s="134"/>
      <c r="D36" s="155"/>
      <c r="E36" s="242"/>
      <c r="F36" s="154"/>
      <c r="G36" s="154"/>
      <c r="H36" s="155"/>
      <c r="I36" s="156">
        <f t="shared" ref="I36" si="84">(10*G36*H36*F36)/3600</f>
        <v>0</v>
      </c>
      <c r="J36" s="157"/>
      <c r="K36" s="156" t="e">
        <f t="shared" ref="K36" si="85">1/J36</f>
        <v>#DIV/0!</v>
      </c>
      <c r="L36" s="156" t="e">
        <f t="shared" ref="L36" si="86">K36^0.5</f>
        <v>#DIV/0!</v>
      </c>
      <c r="M36" s="185">
        <v>8.9999999999999993E-3</v>
      </c>
      <c r="N36" s="154" t="e">
        <f t="shared" ref="N36" si="87">+((I36*M36)/(0.3118*L36))^0.375</f>
        <v>#DIV/0!</v>
      </c>
      <c r="O36" s="157" t="e">
        <f t="shared" ref="O36" si="88">N36*1000</f>
        <v>#DIV/0!</v>
      </c>
      <c r="P36" s="154" t="e">
        <f t="shared" si="74"/>
        <v>#DIV/0!</v>
      </c>
      <c r="Q36" s="135"/>
      <c r="R36" s="154">
        <f t="shared" si="75"/>
        <v>111.11111111111111</v>
      </c>
      <c r="S36" s="154" t="e">
        <f t="shared" si="76"/>
        <v>#DIV/0!</v>
      </c>
      <c r="T36" s="159" t="e">
        <f t="shared" ref="T36" si="89">IF(AND(S36&gt;=0.6),TRUE,FALSE)</f>
        <v>#DIV/0!</v>
      </c>
      <c r="U36" s="118"/>
    </row>
    <row r="37" spans="1:24" s="86" customFormat="1" ht="21" customHeight="1" x14ac:dyDescent="0.25">
      <c r="A37" s="161">
        <v>26</v>
      </c>
      <c r="B37" s="134"/>
      <c r="C37" s="134"/>
      <c r="D37" s="155"/>
      <c r="E37" s="242"/>
      <c r="F37" s="154"/>
      <c r="G37" s="154"/>
      <c r="H37" s="155"/>
      <c r="I37" s="156">
        <f t="shared" ref="I37:I38" si="90">(10*G37*H37*F37)/3600</f>
        <v>0</v>
      </c>
      <c r="J37" s="157"/>
      <c r="K37" s="156" t="e">
        <f t="shared" ref="K37:K38" si="91">1/J37</f>
        <v>#DIV/0!</v>
      </c>
      <c r="L37" s="156" t="e">
        <f t="shared" ref="L37:L38" si="92">K37^0.5</f>
        <v>#DIV/0!</v>
      </c>
      <c r="M37" s="185">
        <v>8.9999999999999993E-3</v>
      </c>
      <c r="N37" s="154" t="e">
        <f t="shared" ref="N37:N38" si="93">+((I37*M37)/(0.3118*L37))^0.375</f>
        <v>#DIV/0!</v>
      </c>
      <c r="O37" s="157" t="e">
        <f t="shared" ref="O37:O38" si="94">N37*1000</f>
        <v>#DIV/0!</v>
      </c>
      <c r="P37" s="154" t="e">
        <f t="shared" si="74"/>
        <v>#DIV/0!</v>
      </c>
      <c r="Q37" s="135"/>
      <c r="R37" s="154">
        <f t="shared" si="75"/>
        <v>111.11111111111111</v>
      </c>
      <c r="S37" s="154" t="e">
        <f t="shared" si="76"/>
        <v>#DIV/0!</v>
      </c>
      <c r="T37" s="159" t="e">
        <f t="shared" ref="T37" si="95">IF(AND(S37&gt;=0.6),TRUE,FALSE)</f>
        <v>#DIV/0!</v>
      </c>
      <c r="U37" s="118"/>
    </row>
    <row r="38" spans="1:24" s="86" customFormat="1" ht="21" customHeight="1" x14ac:dyDescent="0.25">
      <c r="A38" s="161">
        <v>27</v>
      </c>
      <c r="B38" s="134"/>
      <c r="C38" s="134"/>
      <c r="D38" s="155"/>
      <c r="E38" s="242"/>
      <c r="F38" s="154"/>
      <c r="G38" s="154"/>
      <c r="H38" s="155"/>
      <c r="I38" s="156">
        <f t="shared" si="90"/>
        <v>0</v>
      </c>
      <c r="J38" s="157"/>
      <c r="K38" s="156" t="e">
        <f t="shared" si="91"/>
        <v>#DIV/0!</v>
      </c>
      <c r="L38" s="156" t="e">
        <f t="shared" si="92"/>
        <v>#DIV/0!</v>
      </c>
      <c r="M38" s="185">
        <v>8.9999999999999993E-3</v>
      </c>
      <c r="N38" s="154" t="e">
        <f t="shared" si="93"/>
        <v>#DIV/0!</v>
      </c>
      <c r="O38" s="157" t="e">
        <f t="shared" si="94"/>
        <v>#DIV/0!</v>
      </c>
      <c r="P38" s="154" t="e">
        <f t="shared" si="74"/>
        <v>#DIV/0!</v>
      </c>
      <c r="Q38" s="135"/>
      <c r="R38" s="154">
        <f t="shared" si="75"/>
        <v>111.11111111111111</v>
      </c>
      <c r="S38" s="154" t="e">
        <f t="shared" si="76"/>
        <v>#DIV/0!</v>
      </c>
      <c r="T38" s="159" t="e">
        <f t="shared" ref="T38" si="96">IF(AND(S38&gt;=0.6),TRUE,FALSE)</f>
        <v>#DIV/0!</v>
      </c>
      <c r="U38" s="118"/>
    </row>
    <row r="39" spans="1:24" s="86" customFormat="1" ht="21" customHeight="1" x14ac:dyDescent="0.25">
      <c r="A39" s="161">
        <v>28</v>
      </c>
      <c r="B39" s="134"/>
      <c r="C39" s="134"/>
      <c r="D39" s="155"/>
      <c r="E39" s="241"/>
      <c r="F39" s="154"/>
      <c r="G39" s="154"/>
      <c r="H39" s="155"/>
      <c r="I39" s="156">
        <f t="shared" ref="I39" si="97">(10*G39*H39*F39)/3600</f>
        <v>0</v>
      </c>
      <c r="J39" s="157"/>
      <c r="K39" s="156" t="e">
        <f t="shared" ref="K39" si="98">1/J39</f>
        <v>#DIV/0!</v>
      </c>
      <c r="L39" s="156" t="e">
        <f t="shared" ref="L39" si="99">K39^0.5</f>
        <v>#DIV/0!</v>
      </c>
      <c r="M39" s="185">
        <v>8.9999999999999993E-3</v>
      </c>
      <c r="N39" s="154" t="e">
        <f t="shared" ref="N39" si="100">+((I39*M39)/(0.3118*L39))^0.375</f>
        <v>#DIV/0!</v>
      </c>
      <c r="O39" s="157" t="e">
        <f t="shared" ref="O39" si="101">N39*1000</f>
        <v>#DIV/0!</v>
      </c>
      <c r="P39" s="154" t="e">
        <f t="shared" si="74"/>
        <v>#DIV/0!</v>
      </c>
      <c r="Q39" s="135"/>
      <c r="R39" s="154">
        <f t="shared" si="75"/>
        <v>111.11111111111111</v>
      </c>
      <c r="S39" s="154" t="e">
        <f t="shared" si="76"/>
        <v>#DIV/0!</v>
      </c>
      <c r="T39" s="159" t="e">
        <f t="shared" ref="T39" si="102">IF(AND(S39&gt;=0.6),TRUE,FALSE)</f>
        <v>#DIV/0!</v>
      </c>
      <c r="U39" s="118"/>
    </row>
    <row r="40" spans="1:24" s="86" customFormat="1" ht="21" customHeight="1" x14ac:dyDescent="0.25">
      <c r="A40" s="161"/>
      <c r="B40" s="134"/>
      <c r="C40" s="134"/>
      <c r="D40" s="155"/>
      <c r="E40" s="134"/>
      <c r="F40" s="154"/>
      <c r="G40" s="154"/>
      <c r="H40" s="155"/>
      <c r="I40" s="156"/>
      <c r="J40" s="157"/>
      <c r="K40" s="156"/>
      <c r="L40" s="156"/>
      <c r="M40" s="185"/>
      <c r="N40" s="154"/>
      <c r="O40" s="157"/>
      <c r="P40" s="154"/>
      <c r="Q40" s="135"/>
      <c r="R40" s="154"/>
      <c r="S40" s="154"/>
      <c r="T40" s="159"/>
      <c r="U40" s="118"/>
    </row>
    <row r="41" spans="1:24" s="86" customFormat="1" ht="21" customHeight="1" x14ac:dyDescent="0.25">
      <c r="A41" s="161">
        <v>29</v>
      </c>
      <c r="B41" s="134"/>
      <c r="C41" s="134"/>
      <c r="D41" s="155"/>
      <c r="E41" s="240" t="s">
        <v>158</v>
      </c>
      <c r="F41" s="154"/>
      <c r="G41" s="154"/>
      <c r="H41" s="155"/>
      <c r="I41" s="156">
        <f t="shared" ref="I41" si="103">(10*G41*H41*F41)/3600</f>
        <v>0</v>
      </c>
      <c r="J41" s="157"/>
      <c r="K41" s="156" t="e">
        <f t="shared" ref="K41" si="104">1/J41</f>
        <v>#DIV/0!</v>
      </c>
      <c r="L41" s="156" t="e">
        <f t="shared" ref="L41" si="105">K41^0.5</f>
        <v>#DIV/0!</v>
      </c>
      <c r="M41" s="185">
        <v>8.9999999999999993E-3</v>
      </c>
      <c r="N41" s="154" t="e">
        <f t="shared" ref="N41" si="106">+((I41*M41)/(0.3118*L41))^0.375</f>
        <v>#DIV/0!</v>
      </c>
      <c r="O41" s="157" t="e">
        <f t="shared" ref="O41" si="107">N41*1000</f>
        <v>#DIV/0!</v>
      </c>
      <c r="P41" s="154" t="e">
        <f>R41*0.397*N41^0.667*L41</f>
        <v>#DIV/0!</v>
      </c>
      <c r="Q41" s="135"/>
      <c r="R41" s="154">
        <f>1/M41</f>
        <v>111.11111111111111</v>
      </c>
      <c r="S41" s="154" t="e">
        <f>+(0.3118/M41)*(Q41^2.667)*L41*(4/(3.14*Q41*Q41))</f>
        <v>#DIV/0!</v>
      </c>
      <c r="T41" s="159" t="e">
        <f t="shared" ref="T41" si="108">IF(AND(S41&gt;=0.6),TRUE,FALSE)</f>
        <v>#DIV/0!</v>
      </c>
      <c r="U41" s="118"/>
    </row>
    <row r="42" spans="1:24" s="86" customFormat="1" ht="21" customHeight="1" x14ac:dyDescent="0.25">
      <c r="A42" s="155">
        <v>30</v>
      </c>
      <c r="B42" s="134"/>
      <c r="C42" s="134"/>
      <c r="D42" s="155"/>
      <c r="E42" s="241"/>
      <c r="F42" s="154"/>
      <c r="G42" s="154"/>
      <c r="H42" s="155"/>
      <c r="I42" s="156">
        <f t="shared" ref="I42" si="109">(10*G42*H42*F42)/3600</f>
        <v>0</v>
      </c>
      <c r="J42" s="157"/>
      <c r="K42" s="156" t="e">
        <f t="shared" ref="K42" si="110">1/J42</f>
        <v>#DIV/0!</v>
      </c>
      <c r="L42" s="156" t="e">
        <f t="shared" ref="L42" si="111">K42^0.5</f>
        <v>#DIV/0!</v>
      </c>
      <c r="M42" s="185">
        <v>8.9999999999999993E-3</v>
      </c>
      <c r="N42" s="154" t="e">
        <f t="shared" ref="N42" si="112">+((I42*M42)/(0.3118*L42))^0.375</f>
        <v>#DIV/0!</v>
      </c>
      <c r="O42" s="157" t="e">
        <f t="shared" ref="O42" si="113">N42*1000</f>
        <v>#DIV/0!</v>
      </c>
      <c r="P42" s="154" t="e">
        <f>R42*0.397*N42^0.667*L42</f>
        <v>#DIV/0!</v>
      </c>
      <c r="Q42" s="135"/>
      <c r="R42" s="154">
        <f>1/M42</f>
        <v>111.11111111111111</v>
      </c>
      <c r="S42" s="154" t="e">
        <f>+(0.3118/M42)*(Q42^2.667)*L42*(4/(3.14*Q42*Q42))</f>
        <v>#DIV/0!</v>
      </c>
      <c r="T42" s="159" t="e">
        <f t="shared" ref="T42" si="114">IF(AND(S42&gt;=0.6),TRUE,FALSE)</f>
        <v>#DIV/0!</v>
      </c>
      <c r="U42" s="118"/>
    </row>
    <row r="43" spans="1:24" s="86" customFormat="1" ht="21" customHeight="1" thickBot="1" x14ac:dyDescent="0.3">
      <c r="A43" s="162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63"/>
      <c r="U43" s="118"/>
    </row>
    <row r="44" spans="1:24" s="86" customFormat="1" ht="21" customHeight="1" thickBot="1" x14ac:dyDescent="0.3">
      <c r="A44" s="164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94"/>
      <c r="U44" s="151"/>
    </row>
    <row r="45" spans="1:24" ht="13.8" thickBot="1" x14ac:dyDescent="0.3">
      <c r="A45" s="165" t="s">
        <v>129</v>
      </c>
      <c r="B45" s="166" t="s">
        <v>141</v>
      </c>
      <c r="C45" s="16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84"/>
      <c r="U45" s="93"/>
    </row>
    <row r="46" spans="1:24" ht="13.8" thickBot="1" x14ac:dyDescent="0.3">
      <c r="A46" s="168"/>
      <c r="B46" s="169" t="s">
        <v>139</v>
      </c>
      <c r="C46" s="136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85"/>
      <c r="U46" s="84"/>
      <c r="V46" s="86"/>
      <c r="W46" s="86"/>
      <c r="X46" s="86"/>
    </row>
    <row r="47" spans="1:24" ht="13.8" thickBot="1" x14ac:dyDescent="0.3">
      <c r="U47" s="85"/>
    </row>
    <row r="49" spans="2:8" x14ac:dyDescent="0.25">
      <c r="B49" s="120"/>
      <c r="C49" s="120"/>
      <c r="D49" s="120"/>
      <c r="E49" s="120"/>
      <c r="F49" s="120"/>
      <c r="G49" s="1"/>
      <c r="H49" s="1"/>
    </row>
    <row r="50" spans="2:8" x14ac:dyDescent="0.25">
      <c r="B50" s="1"/>
      <c r="C50" s="1"/>
      <c r="D50" s="1"/>
      <c r="E50" s="1"/>
      <c r="F50" s="121"/>
      <c r="G50" s="1"/>
      <c r="H50" s="1"/>
    </row>
    <row r="51" spans="2:8" x14ac:dyDescent="0.25">
      <c r="B51" s="1"/>
      <c r="C51" s="1"/>
      <c r="D51" s="1"/>
      <c r="E51" s="1"/>
      <c r="F51" s="1"/>
      <c r="G51" s="1"/>
      <c r="H51" s="1"/>
    </row>
    <row r="52" spans="2:8" x14ac:dyDescent="0.25">
      <c r="B52" s="1"/>
      <c r="C52" s="1"/>
      <c r="D52" s="1"/>
      <c r="E52" s="1"/>
      <c r="F52" s="1"/>
      <c r="G52" s="1"/>
      <c r="H52" s="1"/>
    </row>
    <row r="53" spans="2:8" x14ac:dyDescent="0.25">
      <c r="B53" s="1"/>
      <c r="C53" s="1"/>
      <c r="D53" s="1"/>
      <c r="E53" s="1"/>
      <c r="F53" s="1"/>
      <c r="G53" s="1"/>
      <c r="H53" s="1"/>
    </row>
    <row r="54" spans="2:8" x14ac:dyDescent="0.25">
      <c r="B54" s="1"/>
      <c r="C54" s="1"/>
      <c r="D54" s="1"/>
      <c r="E54" s="1"/>
      <c r="F54" s="1"/>
      <c r="G54" s="1"/>
      <c r="H54" s="1"/>
    </row>
    <row r="55" spans="2:8" x14ac:dyDescent="0.25">
      <c r="B55" s="1"/>
      <c r="C55" s="1"/>
      <c r="D55" s="1"/>
      <c r="E55" s="1"/>
      <c r="F55" s="1"/>
      <c r="G55" s="1"/>
      <c r="H55" s="1"/>
    </row>
    <row r="56" spans="2:8" x14ac:dyDescent="0.25">
      <c r="B56" s="1"/>
      <c r="C56" s="1"/>
      <c r="D56" s="1"/>
      <c r="E56" s="1"/>
      <c r="F56" s="1"/>
      <c r="G56" s="1"/>
      <c r="H56" s="1"/>
    </row>
    <row r="57" spans="2:8" x14ac:dyDescent="0.25">
      <c r="B57" s="1"/>
      <c r="C57" s="1"/>
      <c r="D57" s="1"/>
      <c r="E57" s="1"/>
      <c r="F57" s="1"/>
      <c r="G57" s="1"/>
      <c r="H57" s="1"/>
    </row>
    <row r="58" spans="2:8" x14ac:dyDescent="0.25">
      <c r="B58" s="1"/>
      <c r="C58" s="1"/>
      <c r="D58" s="1"/>
      <c r="E58" s="1"/>
      <c r="F58" s="1"/>
      <c r="G58" s="1"/>
      <c r="H58" s="1"/>
    </row>
    <row r="59" spans="2:8" x14ac:dyDescent="0.25">
      <c r="B59" s="1"/>
      <c r="C59" s="1"/>
      <c r="D59" s="1"/>
      <c r="E59" s="1"/>
      <c r="F59" s="1"/>
      <c r="G59" s="1"/>
      <c r="H59" s="1"/>
    </row>
    <row r="60" spans="2:8" x14ac:dyDescent="0.25">
      <c r="B60" s="1"/>
      <c r="C60" s="1"/>
      <c r="D60" s="1"/>
      <c r="E60" s="1"/>
      <c r="F60" s="1"/>
      <c r="G60" s="1"/>
      <c r="H60" s="1"/>
    </row>
    <row r="61" spans="2:8" x14ac:dyDescent="0.25">
      <c r="B61" s="1"/>
      <c r="C61" s="1"/>
      <c r="D61" s="1"/>
      <c r="E61" s="1"/>
      <c r="F61" s="1"/>
      <c r="G61" s="1"/>
      <c r="H61" s="1"/>
    </row>
    <row r="62" spans="2:8" x14ac:dyDescent="0.25">
      <c r="B62" s="1"/>
      <c r="C62" s="1"/>
      <c r="D62" s="1"/>
      <c r="E62" s="1"/>
      <c r="F62" s="1"/>
      <c r="G62" s="1"/>
      <c r="H62" s="1"/>
    </row>
    <row r="63" spans="2:8" x14ac:dyDescent="0.25">
      <c r="B63" s="1"/>
      <c r="C63" s="1"/>
      <c r="D63" s="1"/>
      <c r="E63" s="1"/>
      <c r="F63" s="1"/>
      <c r="G63" s="1"/>
      <c r="H63" s="1"/>
    </row>
    <row r="64" spans="2:8" x14ac:dyDescent="0.25">
      <c r="B64" s="1"/>
      <c r="C64" s="1"/>
      <c r="D64" s="1"/>
      <c r="E64" s="1"/>
      <c r="F64" s="121"/>
      <c r="G64" s="1"/>
      <c r="H64" s="1"/>
    </row>
    <row r="65" spans="2:8" x14ac:dyDescent="0.25">
      <c r="B65" s="1"/>
      <c r="C65" s="1"/>
      <c r="D65" s="1"/>
      <c r="E65" s="1"/>
      <c r="F65" s="1"/>
      <c r="G65" s="1"/>
      <c r="H65" s="1"/>
    </row>
    <row r="66" spans="2:8" x14ac:dyDescent="0.25">
      <c r="B66" s="1"/>
      <c r="C66" s="1"/>
      <c r="D66" s="1"/>
      <c r="E66" s="1"/>
      <c r="F66" s="1"/>
      <c r="G66" s="1"/>
      <c r="H66" s="1"/>
    </row>
    <row r="67" spans="2:8" x14ac:dyDescent="0.25">
      <c r="B67" s="1"/>
      <c r="C67" s="1"/>
      <c r="D67" s="1"/>
      <c r="E67" s="1"/>
      <c r="F67" s="121"/>
      <c r="G67" s="1"/>
      <c r="H67" s="1"/>
    </row>
    <row r="68" spans="2:8" x14ac:dyDescent="0.25">
      <c r="B68" s="1"/>
      <c r="C68" s="1"/>
      <c r="D68" s="1"/>
      <c r="E68" s="1"/>
      <c r="F68" s="1"/>
      <c r="G68" s="1"/>
      <c r="H68" s="1"/>
    </row>
    <row r="69" spans="2:8" x14ac:dyDescent="0.25">
      <c r="B69" s="1"/>
      <c r="C69" s="1"/>
      <c r="D69" s="1"/>
      <c r="E69" s="1"/>
      <c r="F69" s="121"/>
      <c r="G69" s="1"/>
      <c r="H69" s="1"/>
    </row>
    <row r="70" spans="2:8" x14ac:dyDescent="0.25">
      <c r="B70" s="1"/>
      <c r="C70" s="1"/>
      <c r="D70" s="1"/>
      <c r="E70" s="1"/>
      <c r="F70" s="1"/>
      <c r="G70" s="1"/>
      <c r="H70" s="1"/>
    </row>
    <row r="71" spans="2:8" x14ac:dyDescent="0.25">
      <c r="B71" s="1"/>
      <c r="C71" s="1"/>
      <c r="D71" s="1"/>
      <c r="E71" s="1"/>
      <c r="F71" s="1"/>
      <c r="G71" s="1"/>
      <c r="H71" s="1"/>
    </row>
    <row r="72" spans="2:8" x14ac:dyDescent="0.25">
      <c r="B72" s="1"/>
      <c r="C72" s="1"/>
      <c r="D72" s="1"/>
      <c r="E72" s="1"/>
      <c r="F72" s="1"/>
      <c r="G72" s="1"/>
      <c r="H72" s="1"/>
    </row>
    <row r="73" spans="2:8" x14ac:dyDescent="0.25">
      <c r="B73" s="1"/>
      <c r="C73" s="1"/>
      <c r="D73" s="1"/>
      <c r="E73" s="1"/>
      <c r="F73" s="1"/>
      <c r="G73" s="1"/>
      <c r="H73" s="1"/>
    </row>
    <row r="74" spans="2:8" x14ac:dyDescent="0.25">
      <c r="B74" s="1"/>
      <c r="C74" s="1"/>
      <c r="D74" s="1"/>
      <c r="E74" s="1"/>
      <c r="F74" s="121"/>
      <c r="G74" s="1"/>
      <c r="H74" s="1"/>
    </row>
    <row r="75" spans="2:8" x14ac:dyDescent="0.25">
      <c r="B75" s="1"/>
      <c r="C75" s="1"/>
      <c r="D75" s="1"/>
      <c r="E75" s="1"/>
      <c r="F75" s="1"/>
      <c r="G75" s="1"/>
      <c r="H75" s="1"/>
    </row>
  </sheetData>
  <mergeCells count="11">
    <mergeCell ref="U6:U7"/>
    <mergeCell ref="A6:Q7"/>
    <mergeCell ref="R6:T7"/>
    <mergeCell ref="E10:E23"/>
    <mergeCell ref="E25:E30"/>
    <mergeCell ref="S1:T3"/>
    <mergeCell ref="A3:R3"/>
    <mergeCell ref="A2:R2"/>
    <mergeCell ref="A1:R1"/>
    <mergeCell ref="E41:E42"/>
    <mergeCell ref="E32:E39"/>
  </mergeCells>
  <phoneticPr fontId="10" type="noConversion"/>
  <pageMargins left="0.7" right="0.7" top="0.75" bottom="0.75" header="0.3" footer="0.3"/>
  <pageSetup paperSize="8"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208B-A0F8-4775-9CEC-5F57686ACC54}">
  <dimension ref="A1:Q35"/>
  <sheetViews>
    <sheetView view="pageBreakPreview" topLeftCell="A11" zoomScale="85" zoomScaleNormal="100" zoomScaleSheetLayoutView="85" workbookViewId="0">
      <selection activeCell="H29" sqref="H29"/>
    </sheetView>
  </sheetViews>
  <sheetFormatPr defaultColWidth="8.5546875" defaultRowHeight="13.2" x14ac:dyDescent="0.25"/>
  <cols>
    <col min="1" max="1" width="25.21875" style="61" customWidth="1"/>
    <col min="2" max="2" width="11.5546875" style="61" customWidth="1"/>
    <col min="3" max="3" width="12.5546875" style="61" customWidth="1"/>
    <col min="4" max="4" width="8.5546875" style="61"/>
    <col min="5" max="5" width="13.44140625" style="61" customWidth="1"/>
    <col min="6" max="6" width="12.44140625" style="61" customWidth="1"/>
    <col min="7" max="7" width="21.5546875" style="61" customWidth="1"/>
    <col min="8" max="8" width="10" style="61" bestFit="1" customWidth="1"/>
    <col min="9" max="9" width="8.5546875" style="61" customWidth="1"/>
    <col min="10" max="10" width="9.44140625" style="61" customWidth="1"/>
    <col min="11" max="11" width="5.44140625" style="61" customWidth="1"/>
    <col min="12" max="14" width="9.44140625" style="61" customWidth="1"/>
    <col min="15" max="15" width="7.44140625" style="61" customWidth="1"/>
    <col min="16" max="16" width="8.44140625" style="61" customWidth="1"/>
    <col min="17" max="16384" width="8.5546875" style="61"/>
  </cols>
  <sheetData>
    <row r="1" spans="1:15" customFormat="1" ht="35.1" customHeight="1" x14ac:dyDescent="0.25">
      <c r="A1" s="262" t="s">
        <v>152</v>
      </c>
      <c r="B1" s="267" t="s">
        <v>153</v>
      </c>
      <c r="C1" s="267"/>
      <c r="D1" s="267"/>
      <c r="E1" s="267"/>
      <c r="F1" s="267"/>
      <c r="G1" s="267"/>
      <c r="H1" s="267"/>
      <c r="I1" s="254"/>
      <c r="J1" s="254"/>
      <c r="K1" s="255"/>
      <c r="L1" s="61"/>
      <c r="M1" s="61"/>
      <c r="N1" s="61"/>
      <c r="O1" s="61"/>
    </row>
    <row r="2" spans="1:15" customFormat="1" ht="35.1" customHeight="1" x14ac:dyDescent="0.25">
      <c r="A2" s="263"/>
      <c r="B2" s="266" t="s">
        <v>147</v>
      </c>
      <c r="C2" s="266"/>
      <c r="D2" s="266"/>
      <c r="E2" s="266"/>
      <c r="F2" s="266"/>
      <c r="G2" s="266"/>
      <c r="H2" s="266"/>
      <c r="I2" s="256"/>
      <c r="J2" s="256"/>
      <c r="K2" s="257"/>
      <c r="L2" s="61"/>
      <c r="M2" s="61"/>
      <c r="N2" s="61"/>
      <c r="O2" s="61"/>
    </row>
    <row r="3" spans="1:15" customFormat="1" ht="35.1" customHeight="1" thickBot="1" x14ac:dyDescent="0.3">
      <c r="A3" s="264"/>
      <c r="B3" s="265" t="s">
        <v>146</v>
      </c>
      <c r="C3" s="265"/>
      <c r="D3" s="265"/>
      <c r="E3" s="265"/>
      <c r="F3" s="265"/>
      <c r="G3" s="265"/>
      <c r="H3" s="265"/>
      <c r="I3" s="258"/>
      <c r="J3" s="258"/>
      <c r="K3" s="259"/>
      <c r="L3" s="61"/>
      <c r="M3" s="61"/>
      <c r="N3" s="61"/>
      <c r="O3" s="61"/>
    </row>
    <row r="4" spans="1:15" x14ac:dyDescent="0.25">
      <c r="A4" s="73"/>
      <c r="K4" s="74"/>
    </row>
    <row r="5" spans="1:15" x14ac:dyDescent="0.25">
      <c r="A5" s="73"/>
      <c r="K5" s="74"/>
    </row>
    <row r="6" spans="1:15" ht="13.35" customHeight="1" x14ac:dyDescent="0.25">
      <c r="A6" s="73"/>
      <c r="G6" s="128"/>
      <c r="H6" s="128"/>
      <c r="I6" s="128"/>
      <c r="J6" s="128"/>
      <c r="K6" s="74"/>
    </row>
    <row r="7" spans="1:15" x14ac:dyDescent="0.25">
      <c r="A7" s="73"/>
      <c r="G7" s="129"/>
      <c r="H7" s="122"/>
      <c r="I7" s="122"/>
      <c r="J7" s="122"/>
      <c r="K7" s="74"/>
    </row>
    <row r="8" spans="1:15" x14ac:dyDescent="0.25">
      <c r="A8" s="73"/>
      <c r="G8" s="129"/>
      <c r="H8" s="122"/>
      <c r="I8" s="122"/>
      <c r="J8" s="122"/>
      <c r="K8" s="74"/>
    </row>
    <row r="9" spans="1:15" x14ac:dyDescent="0.25">
      <c r="A9" s="73"/>
      <c r="G9" s="129"/>
      <c r="H9" s="122"/>
      <c r="I9" s="122"/>
      <c r="J9" s="122"/>
      <c r="K9" s="74"/>
    </row>
    <row r="10" spans="1:15" x14ac:dyDescent="0.25">
      <c r="A10" s="73"/>
      <c r="G10" s="123"/>
      <c r="H10" s="124"/>
      <c r="I10" s="124"/>
      <c r="J10" s="124"/>
      <c r="K10" s="74"/>
    </row>
    <row r="11" spans="1:15" x14ac:dyDescent="0.25">
      <c r="A11" s="73"/>
      <c r="G11" s="125"/>
      <c r="I11" s="124"/>
      <c r="J11" s="124"/>
      <c r="K11" s="74"/>
    </row>
    <row r="12" spans="1:15" x14ac:dyDescent="0.25">
      <c r="A12" s="73"/>
      <c r="G12" s="125"/>
      <c r="I12" s="124"/>
      <c r="J12" s="124"/>
      <c r="K12" s="74"/>
    </row>
    <row r="13" spans="1:15" x14ac:dyDescent="0.25">
      <c r="A13" s="73"/>
      <c r="G13" s="125"/>
      <c r="I13" s="124"/>
      <c r="J13" s="124"/>
      <c r="K13" s="74"/>
    </row>
    <row r="14" spans="1:15" x14ac:dyDescent="0.25">
      <c r="A14" s="73"/>
      <c r="G14" s="125"/>
      <c r="I14" s="124"/>
      <c r="J14" s="124"/>
      <c r="K14" s="74"/>
    </row>
    <row r="15" spans="1:15" x14ac:dyDescent="0.25">
      <c r="A15" s="73"/>
      <c r="G15" s="125"/>
      <c r="I15" s="124"/>
      <c r="J15" s="124"/>
      <c r="K15" s="74"/>
    </row>
    <row r="16" spans="1:15" x14ac:dyDescent="0.25">
      <c r="A16" s="73"/>
      <c r="G16" s="125"/>
      <c r="I16" s="124"/>
      <c r="J16" s="124"/>
      <c r="K16" s="74"/>
    </row>
    <row r="17" spans="1:17" x14ac:dyDescent="0.25">
      <c r="A17" s="73"/>
      <c r="G17" s="125"/>
      <c r="I17" s="124"/>
      <c r="J17" s="124"/>
      <c r="K17" s="74"/>
    </row>
    <row r="18" spans="1:17" x14ac:dyDescent="0.25">
      <c r="A18" s="73"/>
      <c r="G18" s="125"/>
      <c r="I18" s="124"/>
      <c r="J18" s="124"/>
      <c r="K18" s="74"/>
    </row>
    <row r="19" spans="1:17" x14ac:dyDescent="0.25">
      <c r="A19" s="73"/>
      <c r="G19" s="125"/>
      <c r="I19" s="124"/>
      <c r="J19" s="124"/>
      <c r="K19" s="74"/>
    </row>
    <row r="20" spans="1:17" x14ac:dyDescent="0.25">
      <c r="A20" s="73"/>
      <c r="G20" s="125"/>
      <c r="I20" s="124"/>
      <c r="J20" s="124"/>
      <c r="K20" s="74"/>
    </row>
    <row r="21" spans="1:17" x14ac:dyDescent="0.25">
      <c r="A21" s="73"/>
      <c r="G21" s="125"/>
      <c r="I21" s="124"/>
      <c r="J21" s="124"/>
      <c r="K21" s="74"/>
    </row>
    <row r="22" spans="1:17" x14ac:dyDescent="0.25">
      <c r="A22" s="73"/>
      <c r="G22" s="125"/>
      <c r="I22" s="124"/>
      <c r="J22" s="124"/>
      <c r="K22" s="74"/>
    </row>
    <row r="23" spans="1:17" x14ac:dyDescent="0.25">
      <c r="A23" s="73"/>
      <c r="G23" s="126"/>
      <c r="H23" s="127"/>
      <c r="I23" s="127"/>
      <c r="J23" s="127"/>
      <c r="K23" s="74"/>
    </row>
    <row r="24" spans="1:17" x14ac:dyDescent="0.25">
      <c r="A24" s="73"/>
      <c r="K24" s="74"/>
    </row>
    <row r="25" spans="1:17" s="113" customFormat="1" ht="13.8" x14ac:dyDescent="0.25">
      <c r="A25" s="115" t="s">
        <v>33</v>
      </c>
      <c r="B25" s="111"/>
      <c r="C25" s="111"/>
      <c r="D25" s="111"/>
      <c r="E25" s="111"/>
      <c r="F25" s="111"/>
      <c r="G25" s="112"/>
      <c r="H25" s="112"/>
      <c r="I25" s="112"/>
      <c r="J25" s="112"/>
      <c r="K25" s="116"/>
      <c r="L25" s="112"/>
      <c r="M25" s="112"/>
      <c r="N25" s="112"/>
      <c r="O25" s="112"/>
      <c r="P25" s="112"/>
      <c r="Q25" s="112"/>
    </row>
    <row r="26" spans="1:17" s="60" customFormat="1" ht="16.5" customHeight="1" x14ac:dyDescent="0.25">
      <c r="A26" s="75"/>
      <c r="G26" s="61"/>
      <c r="H26" s="61"/>
      <c r="I26" s="61"/>
      <c r="J26" s="61"/>
      <c r="K26" s="74"/>
      <c r="L26" s="61"/>
      <c r="M26" s="61"/>
      <c r="N26" s="61"/>
      <c r="O26" s="61"/>
      <c r="P26" s="61"/>
      <c r="Q26" s="61"/>
    </row>
    <row r="27" spans="1:17" x14ac:dyDescent="0.25">
      <c r="A27" s="76" t="s">
        <v>24</v>
      </c>
      <c r="B27" s="77">
        <v>0.9</v>
      </c>
      <c r="K27" s="74"/>
    </row>
    <row r="28" spans="1:17" ht="26.4" x14ac:dyDescent="0.25">
      <c r="A28" s="76" t="s">
        <v>25</v>
      </c>
      <c r="B28" s="78" t="e">
        <f>+E28/25.4</f>
        <v>#VALUE!</v>
      </c>
      <c r="C28" s="61" t="s">
        <v>27</v>
      </c>
      <c r="E28" s="107" t="s">
        <v>154</v>
      </c>
      <c r="F28" s="110" t="s">
        <v>32</v>
      </c>
      <c r="K28" s="74"/>
    </row>
    <row r="29" spans="1:17" x14ac:dyDescent="0.25">
      <c r="A29" s="76" t="s">
        <v>26</v>
      </c>
      <c r="B29" s="114">
        <f>I23</f>
        <v>0</v>
      </c>
      <c r="C29" s="61" t="s">
        <v>28</v>
      </c>
      <c r="E29" s="77"/>
      <c r="F29"/>
      <c r="K29" s="74"/>
    </row>
    <row r="30" spans="1:17" x14ac:dyDescent="0.25">
      <c r="A30" s="76"/>
      <c r="K30" s="74"/>
    </row>
    <row r="31" spans="1:17" ht="21" customHeight="1" x14ac:dyDescent="0.25">
      <c r="A31" s="76" t="s">
        <v>0</v>
      </c>
      <c r="B31" s="79" t="e">
        <f>+B27*B28*B29</f>
        <v>#VALUE!</v>
      </c>
      <c r="C31" s="61" t="s">
        <v>29</v>
      </c>
      <c r="K31" s="74"/>
    </row>
    <row r="32" spans="1:17" x14ac:dyDescent="0.25">
      <c r="A32" s="76" t="s">
        <v>1</v>
      </c>
      <c r="B32" s="80" t="e">
        <f>+B31*28.31</f>
        <v>#VALUE!</v>
      </c>
      <c r="C32" s="61" t="s">
        <v>30</v>
      </c>
      <c r="K32" s="74"/>
    </row>
    <row r="33" spans="1:11" x14ac:dyDescent="0.25">
      <c r="A33" s="73"/>
      <c r="G33" s="80"/>
      <c r="K33" s="74"/>
    </row>
    <row r="34" spans="1:11" ht="16.5" customHeight="1" x14ac:dyDescent="0.25">
      <c r="A34" s="260" t="s">
        <v>31</v>
      </c>
      <c r="B34" s="261"/>
      <c r="C34" s="108" t="e">
        <f>+B32</f>
        <v>#VALUE!</v>
      </c>
      <c r="D34" s="109" t="str">
        <f>+C32</f>
        <v>Liters/sec</v>
      </c>
      <c r="K34" s="74"/>
    </row>
    <row r="35" spans="1:11" ht="13.8" thickBot="1" x14ac:dyDescent="0.3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117"/>
    </row>
  </sheetData>
  <mergeCells count="6">
    <mergeCell ref="I1:K3"/>
    <mergeCell ref="A34:B34"/>
    <mergeCell ref="A1:A3"/>
    <mergeCell ref="B3:H3"/>
    <mergeCell ref="B2:H2"/>
    <mergeCell ref="B1:H1"/>
  </mergeCells>
  <pageMargins left="0.7" right="0.7" top="0.75" bottom="0.75" header="0.3" footer="0.3"/>
  <pageSetup paperSize="9" scale="64" orientation="portrait" r:id="rId1"/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7D42-F9AF-437C-BC6E-2F088CC244AD}">
  <dimension ref="A1"/>
  <sheetViews>
    <sheetView zoomScale="85" zoomScaleNormal="85" workbookViewId="0">
      <selection activeCell="R26" sqref="R26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185b59-3ff2-4395-8576-69a5a6bd00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8A2DB53BEC3144B935BB239823B1DD" ma:contentTypeVersion="16" ma:contentTypeDescription="Create a new document." ma:contentTypeScope="" ma:versionID="61c21688aeb7edddad049bc2d43309c2">
  <xsd:schema xmlns:xsd="http://www.w3.org/2001/XMLSchema" xmlns:xs="http://www.w3.org/2001/XMLSchema" xmlns:p="http://schemas.microsoft.com/office/2006/metadata/properties" xmlns:ns3="4cbc96c9-0d82-4e68-aa9f-9adae945f437" xmlns:ns4="28185b59-3ff2-4395-8576-69a5a6bd0022" targetNamespace="http://schemas.microsoft.com/office/2006/metadata/properties" ma:root="true" ma:fieldsID="a3dc174881e273e91b62a744da64c1a9" ns3:_="" ns4:_="">
    <xsd:import namespace="4cbc96c9-0d82-4e68-aa9f-9adae945f437"/>
    <xsd:import namespace="28185b59-3ff2-4395-8576-69a5a6bd002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c96c9-0d82-4e68-aa9f-9adae945f4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85b59-3ff2-4395-8576-69a5a6bd0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5899F-2132-4573-A863-DCC3547A57FF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28185b59-3ff2-4395-8576-69a5a6bd0022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cbc96c9-0d82-4e68-aa9f-9adae945f43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6F64F04-F7F7-4880-862B-0048F1AA1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c96c9-0d82-4e68-aa9f-9adae945f437"/>
    <ds:schemaRef ds:uri="28185b59-3ff2-4395-8576-69a5a6bd0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3D977B-4C0D-407B-BE54-D453E738A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 Page</vt:lpstr>
      <vt:lpstr>Methodology</vt:lpstr>
      <vt:lpstr> Design - Storm water Drains</vt:lpstr>
      <vt:lpstr>Design-HDPE pipe</vt:lpstr>
      <vt:lpstr>Storm water calc - Rational</vt:lpstr>
      <vt:lpstr>info</vt:lpstr>
      <vt:lpstr>' Design - Storm water Drains'!Print_Area</vt:lpstr>
      <vt:lpstr>'Design-HDPE pipe'!Print_Area</vt:lpstr>
      <vt:lpstr>Methodology!Print_Area</vt:lpstr>
      <vt:lpstr>'Storm water calc - Rational'!Print_Area</vt:lpstr>
      <vt:lpstr>Methodology!Print_Titles</vt:lpstr>
    </vt:vector>
  </TitlesOfParts>
  <Company>Royal Haskoning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Suvidha Yadav</dc:creator>
  <cp:lastModifiedBy>Charan Kumar</cp:lastModifiedBy>
  <cp:lastPrinted>2025-02-18T08:55:54Z</cp:lastPrinted>
  <dcterms:created xsi:type="dcterms:W3CDTF">2018-04-03T10:01:34Z</dcterms:created>
  <dcterms:modified xsi:type="dcterms:W3CDTF">2026-06-01T11:54:06Z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0x010100B28A2DB53BEC3144B935BB239823B1DD</vt:lpwstr>
  </property>
</Properties>
</file>