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orateroot-my.sharepoint.com/personal/charan_kumar_haskoning_com/Documents/Calculations/"/>
    </mc:Choice>
  </mc:AlternateContent>
  <xr:revisionPtr revIDLastSave="375" documentId="8_{70C378FD-6F9F-4413-96AD-0755101A2494}" xr6:coauthVersionLast="47" xr6:coauthVersionMax="47" xr10:uidLastSave="{6F79AA5D-B508-4F5A-AECC-DC07FDDBCC69}"/>
  <bookViews>
    <workbookView xWindow="-108" yWindow="-108" windowWidth="23256" windowHeight="12456" xr2:uid="{D86456F6-F421-4FF8-879E-3EA8EB21D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G25" i="1"/>
  <c r="H25" i="1" s="1"/>
  <c r="I25" i="1" s="1"/>
  <c r="L25" i="1"/>
  <c r="L19" i="1"/>
  <c r="L18" i="1"/>
  <c r="F18" i="1"/>
  <c r="G18" i="1" s="1"/>
  <c r="H18" i="1" s="1"/>
  <c r="I18" i="1" s="1"/>
  <c r="F16" i="1"/>
  <c r="G16" i="1"/>
  <c r="H16" i="1" s="1"/>
  <c r="I16" i="1" s="1"/>
  <c r="L16" i="1"/>
  <c r="F15" i="1"/>
  <c r="G15" i="1"/>
  <c r="H15" i="1" s="1"/>
  <c r="I15" i="1" s="1"/>
  <c r="L15" i="1"/>
  <c r="L27" i="1"/>
  <c r="L28" i="1"/>
  <c r="L29" i="1"/>
  <c r="L30" i="1"/>
  <c r="L31" i="1"/>
  <c r="L32" i="1"/>
  <c r="L33" i="1"/>
  <c r="L34" i="1"/>
  <c r="L37" i="1"/>
  <c r="L26" i="1"/>
  <c r="L24" i="1"/>
  <c r="L14" i="1"/>
  <c r="L17" i="1"/>
  <c r="L21" i="1"/>
  <c r="L22" i="1"/>
  <c r="L23" i="1"/>
  <c r="L13" i="1"/>
  <c r="L9" i="1"/>
  <c r="L8" i="1"/>
  <c r="L12" i="1"/>
  <c r="L11" i="1"/>
  <c r="L10" i="1"/>
  <c r="L7" i="1"/>
  <c r="L6" i="1"/>
  <c r="F7" i="1"/>
  <c r="G7" i="1" s="1"/>
  <c r="H7" i="1" s="1"/>
  <c r="I7" i="1" s="1"/>
  <c r="F8" i="1"/>
  <c r="G8" i="1" s="1"/>
  <c r="H8" i="1" s="1"/>
  <c r="I8" i="1" s="1"/>
  <c r="F9" i="1"/>
  <c r="G9" i="1" s="1"/>
  <c r="H9" i="1" s="1"/>
  <c r="I9" i="1" s="1"/>
  <c r="F10" i="1"/>
  <c r="F11" i="1"/>
  <c r="G11" i="1" s="1"/>
  <c r="H11" i="1" s="1"/>
  <c r="I11" i="1" s="1"/>
  <c r="F12" i="1"/>
  <c r="F13" i="1"/>
  <c r="G13" i="1" s="1"/>
  <c r="H13" i="1" s="1"/>
  <c r="I13" i="1" s="1"/>
  <c r="F14" i="1"/>
  <c r="G14" i="1" s="1"/>
  <c r="H14" i="1" s="1"/>
  <c r="I14" i="1" s="1"/>
  <c r="F17" i="1"/>
  <c r="G17" i="1" s="1"/>
  <c r="H17" i="1" s="1"/>
  <c r="I17" i="1" s="1"/>
  <c r="F19" i="1"/>
  <c r="F20" i="1"/>
  <c r="G20" i="1" s="1"/>
  <c r="H20" i="1" s="1"/>
  <c r="I20" i="1" s="1"/>
  <c r="F21" i="1"/>
  <c r="F22" i="1"/>
  <c r="G22" i="1" s="1"/>
  <c r="H22" i="1" s="1"/>
  <c r="I22" i="1" s="1"/>
  <c r="F23" i="1"/>
  <c r="G23" i="1" s="1"/>
  <c r="H23" i="1" s="1"/>
  <c r="I23" i="1" s="1"/>
  <c r="F24" i="1"/>
  <c r="F26" i="1"/>
  <c r="G26" i="1" s="1"/>
  <c r="H26" i="1" s="1"/>
  <c r="I26" i="1" s="1"/>
  <c r="F27" i="1"/>
  <c r="G27" i="1" s="1"/>
  <c r="H27" i="1" s="1"/>
  <c r="I27" i="1" s="1"/>
  <c r="F28" i="1"/>
  <c r="G28" i="1" s="1"/>
  <c r="H28" i="1" s="1"/>
  <c r="I28" i="1" s="1"/>
  <c r="F29" i="1"/>
  <c r="G29" i="1" s="1"/>
  <c r="H29" i="1" s="1"/>
  <c r="I29" i="1" s="1"/>
  <c r="F30" i="1"/>
  <c r="F31" i="1"/>
  <c r="G31" i="1" s="1"/>
  <c r="H31" i="1" s="1"/>
  <c r="I31" i="1" s="1"/>
  <c r="F32" i="1"/>
  <c r="G32" i="1" s="1"/>
  <c r="H32" i="1" s="1"/>
  <c r="I32" i="1" s="1"/>
  <c r="F33" i="1"/>
  <c r="F34" i="1"/>
  <c r="F35" i="1"/>
  <c r="G35" i="1" s="1"/>
  <c r="H35" i="1" s="1"/>
  <c r="I35" i="1" s="1"/>
  <c r="F36" i="1"/>
  <c r="G36" i="1" s="1"/>
  <c r="H36" i="1" s="1"/>
  <c r="I36" i="1" s="1"/>
  <c r="F37" i="1"/>
  <c r="G37" i="1" s="1"/>
  <c r="H37" i="1" s="1"/>
  <c r="I37" i="1" s="1"/>
  <c r="F38" i="1"/>
  <c r="G47" i="1"/>
  <c r="H47" i="1" s="1"/>
  <c r="I47" i="1" s="1"/>
  <c r="F6" i="1"/>
  <c r="G6" i="1"/>
  <c r="H6" i="1" s="1"/>
  <c r="G10" i="1"/>
  <c r="H10" i="1" s="1"/>
  <c r="I10" i="1" s="1"/>
  <c r="G19" i="1"/>
  <c r="H19" i="1" s="1"/>
  <c r="I19" i="1" s="1"/>
  <c r="G30" i="1"/>
  <c r="H30" i="1" s="1"/>
  <c r="I30" i="1" s="1"/>
  <c r="L39" i="1" l="1"/>
  <c r="I6" i="1"/>
  <c r="G33" i="1"/>
  <c r="H33" i="1" s="1"/>
  <c r="I33" i="1" s="1"/>
  <c r="G34" i="1"/>
  <c r="H34" i="1" s="1"/>
  <c r="I34" i="1" s="1"/>
  <c r="G24" i="1"/>
  <c r="H24" i="1" s="1"/>
  <c r="I24" i="1" s="1"/>
  <c r="G21" i="1"/>
  <c r="H21" i="1" s="1"/>
  <c r="I21" i="1" s="1"/>
  <c r="G12" i="1"/>
  <c r="H12" i="1" s="1"/>
  <c r="I12" i="1" s="1"/>
</calcChain>
</file>

<file path=xl/sharedStrings.xml><?xml version="1.0" encoding="utf-8"?>
<sst xmlns="http://schemas.openxmlformats.org/spreadsheetml/2006/main" count="46" uniqueCount="43">
  <si>
    <t>Building name</t>
  </si>
  <si>
    <t>Sr no</t>
  </si>
  <si>
    <t xml:space="preserve">Potable water Discharge and Diameter calculation </t>
  </si>
  <si>
    <t>Q/V</t>
  </si>
  <si>
    <t>Dia in mm</t>
  </si>
  <si>
    <t>Tank capacity</t>
  </si>
  <si>
    <t>Main gate</t>
  </si>
  <si>
    <t>Container terminal gate</t>
  </si>
  <si>
    <t>SWC building &amp; DDLP Admin</t>
  </si>
  <si>
    <t>Billing &amp; commercial building</t>
  </si>
  <si>
    <t>Infimerie</t>
  </si>
  <si>
    <t>Canteen</t>
  </si>
  <si>
    <t>Custom inspection &amp; cross stuffing</t>
  </si>
  <si>
    <t>warehouse 10000sqm</t>
  </si>
  <si>
    <t>warehouse 5000sqm 1</t>
  </si>
  <si>
    <t>Empty container</t>
  </si>
  <si>
    <t>warehouse office (container)</t>
  </si>
  <si>
    <t>Wood operation office (container)</t>
  </si>
  <si>
    <t>customs &amp; phytosanitary</t>
  </si>
  <si>
    <t>visitors &amp; employees</t>
  </si>
  <si>
    <t>operation building</t>
  </si>
  <si>
    <t>Workshop B</t>
  </si>
  <si>
    <t>Fuel station</t>
  </si>
  <si>
    <t>Secuirity booth with boom barrier</t>
  </si>
  <si>
    <t>rest room for pilotes</t>
  </si>
  <si>
    <t>quay foreman office (Container)</t>
  </si>
  <si>
    <t>Workshop A</t>
  </si>
  <si>
    <t>Fuel tank for Quay ops</t>
  </si>
  <si>
    <t>Wood buffer area</t>
  </si>
  <si>
    <t xml:space="preserve">fire station </t>
  </si>
  <si>
    <t>Custom inspection  hanger</t>
  </si>
  <si>
    <t>barge requirement</t>
  </si>
  <si>
    <t>Discharge (Q) m3/sec</t>
  </si>
  <si>
    <t>Velocity (V) m/sec</t>
  </si>
  <si>
    <t>Diameter in m</t>
  </si>
  <si>
    <t xml:space="preserve">Main network </t>
  </si>
  <si>
    <t>DN</t>
  </si>
  <si>
    <t>m3/hr</t>
  </si>
  <si>
    <r>
      <rPr>
        <b/>
        <sz val="11"/>
        <color theme="1"/>
        <rFont val="Aptos Narrow"/>
        <family val="2"/>
        <scheme val="minor"/>
      </rPr>
      <t>Note :-</t>
    </r>
    <r>
      <rPr>
        <sz val="11"/>
        <color theme="1"/>
        <rFont val="Aptos Narrow"/>
        <family val="2"/>
        <scheme val="minor"/>
      </rPr>
      <t xml:space="preserve">
For buildings billing &amp; commercial, SWC &amp; Admin, Canteen  the time taken is 2hr
and rest of the buildings are in 1hr.</t>
    </r>
  </si>
  <si>
    <t>Sensitive wood warehouse (2)</t>
  </si>
  <si>
    <t>warehouse 1000sqm 1</t>
  </si>
  <si>
    <t>changing room 1</t>
  </si>
  <si>
    <t>changing room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</si>
</sst>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164" fontId="0" fillId="5" borderId="1" xfId="0" applyNumberFormat="1" applyFill="1" applyBorder="1" applyAlignment="1">
      <alignment horizontal="left" vertical="top"/>
    </xf>
    <xf numFmtId="165" fontId="0" fillId="5" borderId="1" xfId="0" applyNumberFormat="1" applyFill="1" applyBorder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166" fontId="0" fillId="7" borderId="1" xfId="0" applyNumberFormat="1" applyFill="1" applyBorder="1" applyAlignment="1">
      <alignment horizontal="left" vertical="top"/>
    </xf>
    <xf numFmtId="164" fontId="0" fillId="7" borderId="1" xfId="0" applyNumberFormat="1" applyFill="1" applyBorder="1" applyAlignment="1">
      <alignment horizontal="left" vertical="top"/>
    </xf>
    <xf numFmtId="165" fontId="0" fillId="7" borderId="1" xfId="0" applyNumberFormat="1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166" fontId="0" fillId="5" borderId="1" xfId="0" applyNumberFormat="1" applyFill="1" applyBorder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0C9E-4E5C-4052-96CA-F4554F2B7886}">
  <dimension ref="B3:S59"/>
  <sheetViews>
    <sheetView tabSelected="1" topLeftCell="A4" zoomScale="91" zoomScaleNormal="85" workbookViewId="0">
      <selection activeCell="E41" sqref="E41"/>
    </sheetView>
  </sheetViews>
  <sheetFormatPr defaultRowHeight="14.4" x14ac:dyDescent="0.3"/>
  <cols>
    <col min="1" max="1" width="8.88671875" style="1"/>
    <col min="2" max="2" width="10" style="1" customWidth="1"/>
    <col min="3" max="3" width="39.6640625" style="1" customWidth="1"/>
    <col min="4" max="4" width="16.44140625" style="1" customWidth="1"/>
    <col min="5" max="5" width="10.21875" style="1" customWidth="1"/>
    <col min="6" max="6" width="16" style="1" customWidth="1"/>
    <col min="7" max="7" width="9.88671875" style="1" customWidth="1"/>
    <col min="8" max="8" width="13.5546875" style="1" customWidth="1"/>
    <col min="9" max="9" width="10.77734375" style="1" customWidth="1"/>
    <col min="10" max="10" width="9.33203125" style="1" customWidth="1"/>
    <col min="11" max="16384" width="8.88671875" style="1"/>
  </cols>
  <sheetData>
    <row r="3" spans="2:19" x14ac:dyDescent="0.3">
      <c r="B3" s="28" t="s">
        <v>2</v>
      </c>
      <c r="C3" s="28"/>
      <c r="D3" s="28"/>
      <c r="E3" s="28"/>
      <c r="F3" s="28"/>
      <c r="G3" s="28"/>
      <c r="H3" s="28"/>
      <c r="I3" s="28"/>
      <c r="J3" s="28"/>
    </row>
    <row r="4" spans="2:19" x14ac:dyDescent="0.3">
      <c r="B4" s="28"/>
      <c r="C4" s="28"/>
      <c r="D4" s="28"/>
      <c r="E4" s="28"/>
      <c r="F4" s="28"/>
      <c r="G4" s="28"/>
      <c r="H4" s="28"/>
      <c r="I4" s="28"/>
      <c r="J4" s="28"/>
    </row>
    <row r="5" spans="2:19" x14ac:dyDescent="0.3">
      <c r="B5" s="4" t="s">
        <v>1</v>
      </c>
      <c r="C5" s="4" t="s">
        <v>0</v>
      </c>
      <c r="D5" s="4" t="s">
        <v>5</v>
      </c>
      <c r="E5" s="4" t="s">
        <v>33</v>
      </c>
      <c r="F5" s="4" t="s">
        <v>32</v>
      </c>
      <c r="G5" s="4" t="s">
        <v>3</v>
      </c>
      <c r="H5" s="4" t="s">
        <v>34</v>
      </c>
      <c r="I5" s="4" t="s">
        <v>4</v>
      </c>
      <c r="J5" s="4" t="s">
        <v>36</v>
      </c>
      <c r="L5" s="18" t="s">
        <v>37</v>
      </c>
      <c r="M5" s="29" t="s">
        <v>38</v>
      </c>
      <c r="N5" s="30"/>
      <c r="O5" s="30"/>
      <c r="P5" s="30"/>
      <c r="Q5" s="30"/>
      <c r="R5" s="30"/>
      <c r="S5" s="30"/>
    </row>
    <row r="6" spans="2:19" x14ac:dyDescent="0.3">
      <c r="B6" s="5">
        <v>1</v>
      </c>
      <c r="C6" s="5" t="s">
        <v>6</v>
      </c>
      <c r="D6" s="5">
        <v>0.9</v>
      </c>
      <c r="E6" s="5">
        <v>2</v>
      </c>
      <c r="F6" s="8">
        <f>D6/3600</f>
        <v>2.5000000000000001E-4</v>
      </c>
      <c r="G6" s="8">
        <f>F6/E6</f>
        <v>1.25E-4</v>
      </c>
      <c r="H6" s="6">
        <f>SQRT(4*G6/PI())</f>
        <v>1.2615662610100801E-2</v>
      </c>
      <c r="I6" s="7">
        <f>H6*1000</f>
        <v>12.6156626101008</v>
      </c>
      <c r="J6" s="5">
        <v>16</v>
      </c>
      <c r="K6" s="5">
        <v>25</v>
      </c>
      <c r="L6" s="5">
        <f>D6/(1)</f>
        <v>0.9</v>
      </c>
      <c r="M6" s="31"/>
      <c r="N6" s="30"/>
      <c r="O6" s="30"/>
      <c r="P6" s="30"/>
      <c r="Q6" s="30"/>
      <c r="R6" s="30"/>
      <c r="S6" s="30"/>
    </row>
    <row r="7" spans="2:19" x14ac:dyDescent="0.3">
      <c r="B7" s="5">
        <v>2</v>
      </c>
      <c r="C7" s="5" t="s">
        <v>7</v>
      </c>
      <c r="D7" s="5">
        <v>0.9</v>
      </c>
      <c r="E7" s="5">
        <v>2</v>
      </c>
      <c r="F7" s="8">
        <f t="shared" ref="F7:F17" si="0">D7/3600</f>
        <v>2.5000000000000001E-4</v>
      </c>
      <c r="G7" s="8">
        <f t="shared" ref="G7:G47" si="1">F7/E7</f>
        <v>1.25E-4</v>
      </c>
      <c r="H7" s="6">
        <f t="shared" ref="H7:H47" si="2">SQRT(4*G7/PI())</f>
        <v>1.2615662610100801E-2</v>
      </c>
      <c r="I7" s="7">
        <f t="shared" ref="I7:I47" si="3">H7*1000</f>
        <v>12.6156626101008</v>
      </c>
      <c r="J7" s="5">
        <v>16</v>
      </c>
      <c r="K7" s="5">
        <v>25</v>
      </c>
      <c r="L7" s="5">
        <f>D7/(1)</f>
        <v>0.9</v>
      </c>
      <c r="M7" s="31"/>
      <c r="N7" s="30"/>
      <c r="O7" s="30"/>
      <c r="P7" s="30"/>
      <c r="Q7" s="30"/>
      <c r="R7" s="30"/>
      <c r="S7" s="30"/>
    </row>
    <row r="8" spans="2:19" x14ac:dyDescent="0.3">
      <c r="B8" s="20">
        <v>3</v>
      </c>
      <c r="C8" s="20" t="s">
        <v>9</v>
      </c>
      <c r="D8" s="20">
        <v>16.32</v>
      </c>
      <c r="E8" s="20">
        <v>2</v>
      </c>
      <c r="F8" s="8">
        <f t="shared" si="0"/>
        <v>4.5333333333333337E-3</v>
      </c>
      <c r="G8" s="21">
        <f t="shared" si="1"/>
        <v>2.2666666666666668E-3</v>
      </c>
      <c r="H8" s="22">
        <f t="shared" si="2"/>
        <v>5.3721593747142644E-2</v>
      </c>
      <c r="I8" s="23">
        <f t="shared" si="3"/>
        <v>53.721593747142641</v>
      </c>
      <c r="J8" s="20">
        <v>63</v>
      </c>
      <c r="K8" s="24"/>
      <c r="L8" s="20">
        <f>D8/2</f>
        <v>8.16</v>
      </c>
      <c r="M8" s="31"/>
      <c r="N8" s="30"/>
      <c r="O8" s="30"/>
      <c r="P8" s="30"/>
      <c r="Q8" s="30"/>
      <c r="R8" s="30"/>
      <c r="S8" s="30"/>
    </row>
    <row r="9" spans="2:19" x14ac:dyDescent="0.3">
      <c r="B9" s="9">
        <v>4</v>
      </c>
      <c r="C9" s="9" t="s">
        <v>8</v>
      </c>
      <c r="D9" s="9">
        <v>13.68</v>
      </c>
      <c r="E9" s="9">
        <v>2</v>
      </c>
      <c r="F9" s="8">
        <f t="shared" si="0"/>
        <v>3.8E-3</v>
      </c>
      <c r="G9" s="10">
        <f t="shared" si="1"/>
        <v>1.9E-3</v>
      </c>
      <c r="H9" s="11">
        <f t="shared" si="2"/>
        <v>4.9184907593659351E-2</v>
      </c>
      <c r="I9" s="12">
        <f t="shared" si="3"/>
        <v>49.184907593659354</v>
      </c>
      <c r="J9" s="9">
        <v>50</v>
      </c>
      <c r="L9" s="19">
        <f>D9/2</f>
        <v>6.84</v>
      </c>
      <c r="M9" s="31"/>
      <c r="N9" s="30"/>
      <c r="O9" s="30"/>
      <c r="P9" s="30"/>
      <c r="Q9" s="30"/>
      <c r="R9" s="30"/>
      <c r="S9" s="30"/>
    </row>
    <row r="10" spans="2:19" x14ac:dyDescent="0.3">
      <c r="B10" s="5">
        <v>5</v>
      </c>
      <c r="C10" s="5" t="s">
        <v>39</v>
      </c>
      <c r="D10" s="5">
        <v>0.6</v>
      </c>
      <c r="E10" s="5">
        <v>2</v>
      </c>
      <c r="F10" s="8">
        <f t="shared" si="0"/>
        <v>1.6666666666666666E-4</v>
      </c>
      <c r="G10" s="8">
        <f t="shared" si="1"/>
        <v>8.3333333333333331E-5</v>
      </c>
      <c r="H10" s="6">
        <f t="shared" si="2"/>
        <v>1.0300645387285055E-2</v>
      </c>
      <c r="I10" s="7">
        <f t="shared" si="3"/>
        <v>10.300645387285055</v>
      </c>
      <c r="J10" s="5">
        <v>16</v>
      </c>
      <c r="K10" s="1">
        <v>25</v>
      </c>
      <c r="L10" s="5">
        <f>D10/(1)</f>
        <v>0.6</v>
      </c>
      <c r="M10" s="31"/>
      <c r="N10" s="30"/>
      <c r="O10" s="30"/>
      <c r="P10" s="30"/>
      <c r="Q10" s="30"/>
      <c r="R10" s="30"/>
      <c r="S10" s="30"/>
    </row>
    <row r="11" spans="2:19" x14ac:dyDescent="0.3">
      <c r="B11" s="5">
        <v>6</v>
      </c>
      <c r="C11" s="5" t="s">
        <v>10</v>
      </c>
      <c r="D11" s="5">
        <v>0.6</v>
      </c>
      <c r="E11" s="5">
        <v>2</v>
      </c>
      <c r="F11" s="8">
        <f t="shared" si="0"/>
        <v>1.6666666666666666E-4</v>
      </c>
      <c r="G11" s="8">
        <f t="shared" si="1"/>
        <v>8.3333333333333331E-5</v>
      </c>
      <c r="H11" s="6">
        <f t="shared" si="2"/>
        <v>1.0300645387285055E-2</v>
      </c>
      <c r="I11" s="7">
        <f t="shared" si="3"/>
        <v>10.300645387285055</v>
      </c>
      <c r="J11" s="5">
        <v>16</v>
      </c>
      <c r="K11" s="1">
        <v>25</v>
      </c>
      <c r="L11" s="5">
        <f>D11/(1)</f>
        <v>0.6</v>
      </c>
      <c r="M11" s="31"/>
      <c r="N11" s="30"/>
      <c r="O11" s="30"/>
      <c r="P11" s="30"/>
      <c r="Q11" s="30"/>
      <c r="R11" s="30"/>
      <c r="S11" s="30"/>
    </row>
    <row r="12" spans="2:19" x14ac:dyDescent="0.3">
      <c r="B12" s="9">
        <v>7</v>
      </c>
      <c r="C12" s="9" t="s">
        <v>11</v>
      </c>
      <c r="D12" s="9">
        <v>12</v>
      </c>
      <c r="E12" s="9">
        <v>2</v>
      </c>
      <c r="F12" s="8">
        <f t="shared" si="0"/>
        <v>3.3333333333333335E-3</v>
      </c>
      <c r="G12" s="10">
        <f t="shared" si="1"/>
        <v>1.6666666666666668E-3</v>
      </c>
      <c r="H12" s="11">
        <f t="shared" si="2"/>
        <v>4.6065886596178066E-2</v>
      </c>
      <c r="I12" s="12">
        <f t="shared" si="3"/>
        <v>46.065886596178068</v>
      </c>
      <c r="J12" s="9">
        <v>50</v>
      </c>
      <c r="L12" s="19">
        <f>D12/2</f>
        <v>6</v>
      </c>
      <c r="M12" s="31"/>
      <c r="N12" s="30"/>
      <c r="O12" s="30"/>
      <c r="P12" s="30"/>
      <c r="Q12" s="30"/>
      <c r="R12" s="30"/>
      <c r="S12" s="30"/>
    </row>
    <row r="13" spans="2:19" x14ac:dyDescent="0.3">
      <c r="B13" s="5">
        <v>8</v>
      </c>
      <c r="C13" s="5" t="s">
        <v>12</v>
      </c>
      <c r="D13" s="5">
        <v>0.6</v>
      </c>
      <c r="E13" s="5">
        <v>2</v>
      </c>
      <c r="F13" s="8">
        <f t="shared" si="0"/>
        <v>1.6666666666666666E-4</v>
      </c>
      <c r="G13" s="8">
        <f t="shared" si="1"/>
        <v>8.3333333333333331E-5</v>
      </c>
      <c r="H13" s="6">
        <f t="shared" si="2"/>
        <v>1.0300645387285055E-2</v>
      </c>
      <c r="I13" s="7">
        <f t="shared" si="3"/>
        <v>10.300645387285055</v>
      </c>
      <c r="J13" s="5">
        <v>16</v>
      </c>
      <c r="K13" s="1">
        <v>25</v>
      </c>
      <c r="L13" s="5">
        <f>D13/(1)</f>
        <v>0.6</v>
      </c>
    </row>
    <row r="14" spans="2:19" x14ac:dyDescent="0.3">
      <c r="B14" s="5">
        <v>9</v>
      </c>
      <c r="C14" s="5" t="s">
        <v>13</v>
      </c>
      <c r="D14" s="5">
        <v>0.6</v>
      </c>
      <c r="E14" s="5">
        <v>2</v>
      </c>
      <c r="F14" s="8">
        <f t="shared" si="0"/>
        <v>1.6666666666666666E-4</v>
      </c>
      <c r="G14" s="8">
        <f t="shared" si="1"/>
        <v>8.3333333333333331E-5</v>
      </c>
      <c r="H14" s="6">
        <f t="shared" si="2"/>
        <v>1.0300645387285055E-2</v>
      </c>
      <c r="I14" s="7">
        <f t="shared" si="3"/>
        <v>10.300645387285055</v>
      </c>
      <c r="J14" s="5">
        <v>16</v>
      </c>
      <c r="K14" s="1">
        <v>25</v>
      </c>
      <c r="L14" s="5">
        <f t="shared" ref="L14:L17" si="4">D14/(1)</f>
        <v>0.6</v>
      </c>
    </row>
    <row r="15" spans="2:19" x14ac:dyDescent="0.3">
      <c r="B15" s="5">
        <v>10</v>
      </c>
      <c r="C15" s="5" t="s">
        <v>13</v>
      </c>
      <c r="D15" s="5">
        <v>0.6</v>
      </c>
      <c r="E15" s="5">
        <v>2</v>
      </c>
      <c r="F15" s="8">
        <f t="shared" ref="F15:F16" si="5">D15/3600</f>
        <v>1.6666666666666666E-4</v>
      </c>
      <c r="G15" s="8">
        <f t="shared" ref="G15:G16" si="6">F15/E15</f>
        <v>8.3333333333333331E-5</v>
      </c>
      <c r="H15" s="6">
        <f t="shared" ref="H15:H16" si="7">SQRT(4*G15/PI())</f>
        <v>1.0300645387285055E-2</v>
      </c>
      <c r="I15" s="7">
        <f t="shared" ref="I15:I16" si="8">H15*1000</f>
        <v>10.300645387285055</v>
      </c>
      <c r="J15" s="5">
        <v>16</v>
      </c>
      <c r="K15" s="1">
        <v>25</v>
      </c>
      <c r="L15" s="5">
        <f t="shared" ref="L15:L16" si="9">D15/(1)</f>
        <v>0.6</v>
      </c>
    </row>
    <row r="16" spans="2:19" x14ac:dyDescent="0.3">
      <c r="B16" s="5">
        <v>11</v>
      </c>
      <c r="C16" s="5" t="s">
        <v>14</v>
      </c>
      <c r="D16" s="5">
        <v>0.6</v>
      </c>
      <c r="E16" s="5">
        <v>2</v>
      </c>
      <c r="F16" s="8">
        <f t="shared" si="5"/>
        <v>1.6666666666666666E-4</v>
      </c>
      <c r="G16" s="8">
        <f t="shared" si="6"/>
        <v>8.3333333333333331E-5</v>
      </c>
      <c r="H16" s="6">
        <f t="shared" si="7"/>
        <v>1.0300645387285055E-2</v>
      </c>
      <c r="I16" s="7">
        <f t="shared" si="8"/>
        <v>10.300645387285055</v>
      </c>
      <c r="J16" s="5">
        <v>16</v>
      </c>
      <c r="K16" s="1">
        <v>25</v>
      </c>
      <c r="L16" s="5">
        <f t="shared" si="9"/>
        <v>0.6</v>
      </c>
    </row>
    <row r="17" spans="2:12" x14ac:dyDescent="0.3">
      <c r="B17" s="5">
        <v>12</v>
      </c>
      <c r="C17" s="5" t="s">
        <v>14</v>
      </c>
      <c r="D17" s="5">
        <v>0.6</v>
      </c>
      <c r="E17" s="5">
        <v>2</v>
      </c>
      <c r="F17" s="8">
        <f t="shared" si="0"/>
        <v>1.6666666666666666E-4</v>
      </c>
      <c r="G17" s="8">
        <f t="shared" si="1"/>
        <v>8.3333333333333331E-5</v>
      </c>
      <c r="H17" s="6">
        <f t="shared" si="2"/>
        <v>1.0300645387285055E-2</v>
      </c>
      <c r="I17" s="7">
        <f t="shared" si="3"/>
        <v>10.300645387285055</v>
      </c>
      <c r="J17" s="5">
        <v>16</v>
      </c>
      <c r="K17" s="1">
        <v>25</v>
      </c>
      <c r="L17" s="5">
        <f t="shared" si="4"/>
        <v>0.6</v>
      </c>
    </row>
    <row r="18" spans="2:12" x14ac:dyDescent="0.3">
      <c r="B18" s="5">
        <v>13</v>
      </c>
      <c r="C18" s="5" t="s">
        <v>40</v>
      </c>
      <c r="D18" s="5">
        <v>0.6</v>
      </c>
      <c r="E18" s="5">
        <v>2</v>
      </c>
      <c r="F18" s="8">
        <f t="shared" ref="F18" si="10">D18/3600</f>
        <v>1.6666666666666666E-4</v>
      </c>
      <c r="G18" s="8">
        <f t="shared" ref="G18" si="11">F18/E18</f>
        <v>8.3333333333333331E-5</v>
      </c>
      <c r="H18" s="6">
        <f t="shared" ref="H18" si="12">SQRT(4*G18/PI())</f>
        <v>1.0300645387285055E-2</v>
      </c>
      <c r="I18" s="7">
        <f t="shared" ref="I18" si="13">H18*1000</f>
        <v>10.300645387285055</v>
      </c>
      <c r="J18" s="5">
        <v>16</v>
      </c>
      <c r="K18" s="1">
        <v>25</v>
      </c>
      <c r="L18" s="5">
        <f t="shared" ref="L18" si="14">D18/(1)</f>
        <v>0.6</v>
      </c>
    </row>
    <row r="19" spans="2:12" x14ac:dyDescent="0.3">
      <c r="B19" s="5">
        <v>14</v>
      </c>
      <c r="C19" s="5" t="s">
        <v>15</v>
      </c>
      <c r="D19" s="5">
        <v>0.6</v>
      </c>
      <c r="E19" s="5">
        <v>2</v>
      </c>
      <c r="F19" s="8">
        <f t="shared" ref="F19:F37" si="15">D19/3600</f>
        <v>1.6666666666666666E-4</v>
      </c>
      <c r="G19" s="8">
        <f t="shared" ref="G19:G37" si="16">F19/E19</f>
        <v>8.3333333333333331E-5</v>
      </c>
      <c r="H19" s="6">
        <f t="shared" ref="H19:H37" si="17">SQRT(4*G19/PI())</f>
        <v>1.0300645387285055E-2</v>
      </c>
      <c r="I19" s="7">
        <f t="shared" ref="I19:I37" si="18">H19*1000</f>
        <v>10.300645387285055</v>
      </c>
      <c r="J19" s="5">
        <v>16</v>
      </c>
      <c r="K19" s="1">
        <v>25</v>
      </c>
      <c r="L19" s="5">
        <f>D19/(1)</f>
        <v>0.6</v>
      </c>
    </row>
    <row r="20" spans="2:12" x14ac:dyDescent="0.3">
      <c r="B20" s="27">
        <v>15</v>
      </c>
      <c r="C20" s="5" t="s">
        <v>16</v>
      </c>
      <c r="D20" s="5">
        <v>0.6</v>
      </c>
      <c r="E20" s="5">
        <v>2</v>
      </c>
      <c r="F20" s="8">
        <f t="shared" si="15"/>
        <v>1.6666666666666666E-4</v>
      </c>
      <c r="G20" s="8">
        <f t="shared" si="16"/>
        <v>8.3333333333333331E-5</v>
      </c>
      <c r="H20" s="6">
        <f t="shared" si="17"/>
        <v>1.0300645387285055E-2</v>
      </c>
      <c r="I20" s="7">
        <f t="shared" si="18"/>
        <v>10.300645387285055</v>
      </c>
      <c r="J20" s="5">
        <v>16</v>
      </c>
      <c r="K20" s="1">
        <v>25</v>
      </c>
      <c r="L20" s="5"/>
    </row>
    <row r="21" spans="2:12" x14ac:dyDescent="0.3">
      <c r="B21" s="5">
        <v>16</v>
      </c>
      <c r="C21" s="5" t="s">
        <v>17</v>
      </c>
      <c r="D21" s="5">
        <v>0.6</v>
      </c>
      <c r="E21" s="5">
        <v>2</v>
      </c>
      <c r="F21" s="8">
        <f t="shared" si="15"/>
        <v>1.6666666666666666E-4</v>
      </c>
      <c r="G21" s="8">
        <f t="shared" si="16"/>
        <v>8.3333333333333331E-5</v>
      </c>
      <c r="H21" s="6">
        <f t="shared" si="17"/>
        <v>1.0300645387285055E-2</v>
      </c>
      <c r="I21" s="7">
        <f t="shared" si="18"/>
        <v>10.300645387285055</v>
      </c>
      <c r="J21" s="5">
        <v>16</v>
      </c>
      <c r="K21" s="1">
        <v>25</v>
      </c>
      <c r="L21" s="5">
        <f>D21/(1)</f>
        <v>0.6</v>
      </c>
    </row>
    <row r="22" spans="2:12" x14ac:dyDescent="0.3">
      <c r="B22" s="5">
        <v>17</v>
      </c>
      <c r="C22" s="5" t="s">
        <v>18</v>
      </c>
      <c r="D22" s="5">
        <v>0.6</v>
      </c>
      <c r="E22" s="5">
        <v>2</v>
      </c>
      <c r="F22" s="8">
        <f t="shared" si="15"/>
        <v>1.6666666666666666E-4</v>
      </c>
      <c r="G22" s="8">
        <f t="shared" si="16"/>
        <v>8.3333333333333331E-5</v>
      </c>
      <c r="H22" s="6">
        <f t="shared" si="17"/>
        <v>1.0300645387285055E-2</v>
      </c>
      <c r="I22" s="7">
        <f t="shared" si="18"/>
        <v>10.300645387285055</v>
      </c>
      <c r="J22" s="5">
        <v>16</v>
      </c>
      <c r="K22" s="1">
        <v>25</v>
      </c>
      <c r="L22" s="5">
        <f>D22/(1)</f>
        <v>0.6</v>
      </c>
    </row>
    <row r="23" spans="2:12" x14ac:dyDescent="0.3">
      <c r="B23" s="5">
        <v>18</v>
      </c>
      <c r="C23" s="5" t="s">
        <v>19</v>
      </c>
      <c r="D23" s="5">
        <v>1.2</v>
      </c>
      <c r="E23" s="5">
        <v>2</v>
      </c>
      <c r="F23" s="8">
        <f t="shared" si="15"/>
        <v>3.3333333333333332E-4</v>
      </c>
      <c r="G23" s="8">
        <f t="shared" si="16"/>
        <v>1.6666666666666666E-4</v>
      </c>
      <c r="H23" s="6">
        <f t="shared" si="17"/>
        <v>1.4567312407894387E-2</v>
      </c>
      <c r="I23" s="7">
        <f t="shared" si="18"/>
        <v>14.567312407894388</v>
      </c>
      <c r="J23" s="5">
        <v>16</v>
      </c>
      <c r="K23" s="1">
        <v>25</v>
      </c>
      <c r="L23" s="5">
        <f>D23/(1)</f>
        <v>1.2</v>
      </c>
    </row>
    <row r="24" spans="2:12" x14ac:dyDescent="0.3">
      <c r="B24" s="13">
        <v>19</v>
      </c>
      <c r="C24" s="13" t="s">
        <v>20</v>
      </c>
      <c r="D24" s="13">
        <v>6.72</v>
      </c>
      <c r="E24" s="13">
        <v>2</v>
      </c>
      <c r="F24" s="8">
        <f t="shared" si="15"/>
        <v>1.8666666666666666E-3</v>
      </c>
      <c r="G24" s="25">
        <f t="shared" si="16"/>
        <v>9.3333333333333332E-4</v>
      </c>
      <c r="H24" s="14">
        <f t="shared" si="17"/>
        <v>3.4472552972176072E-2</v>
      </c>
      <c r="I24" s="15">
        <f t="shared" si="18"/>
        <v>34.472552972176075</v>
      </c>
      <c r="J24" s="13">
        <v>40</v>
      </c>
      <c r="K24" s="26"/>
      <c r="L24" s="13">
        <f>D24/2</f>
        <v>3.36</v>
      </c>
    </row>
    <row r="25" spans="2:12" x14ac:dyDescent="0.3">
      <c r="B25" s="5">
        <v>19</v>
      </c>
      <c r="C25" s="5" t="s">
        <v>41</v>
      </c>
      <c r="D25" s="5">
        <v>1.2</v>
      </c>
      <c r="E25" s="5">
        <v>2</v>
      </c>
      <c r="F25" s="8">
        <f t="shared" si="15"/>
        <v>3.3333333333333332E-4</v>
      </c>
      <c r="G25" s="8">
        <f t="shared" si="16"/>
        <v>1.6666666666666666E-4</v>
      </c>
      <c r="H25" s="6">
        <f t="shared" si="17"/>
        <v>1.4567312407894387E-2</v>
      </c>
      <c r="I25" s="7">
        <f t="shared" si="18"/>
        <v>14.567312407894388</v>
      </c>
      <c r="J25" s="5">
        <v>16</v>
      </c>
      <c r="K25" s="1">
        <v>25</v>
      </c>
      <c r="L25" s="5">
        <f>D25/(1)</f>
        <v>1.2</v>
      </c>
    </row>
    <row r="26" spans="2:12" x14ac:dyDescent="0.3">
      <c r="B26" s="5">
        <v>20</v>
      </c>
      <c r="C26" s="5" t="s">
        <v>42</v>
      </c>
      <c r="D26" s="5">
        <v>1.2</v>
      </c>
      <c r="E26" s="5">
        <v>2</v>
      </c>
      <c r="F26" s="8">
        <f t="shared" si="15"/>
        <v>3.3333333333333332E-4</v>
      </c>
      <c r="G26" s="8">
        <f t="shared" si="16"/>
        <v>1.6666666666666666E-4</v>
      </c>
      <c r="H26" s="6">
        <f t="shared" si="17"/>
        <v>1.4567312407894387E-2</v>
      </c>
      <c r="I26" s="7">
        <f t="shared" si="18"/>
        <v>14.567312407894388</v>
      </c>
      <c r="J26" s="5">
        <v>16</v>
      </c>
      <c r="K26" s="1">
        <v>25</v>
      </c>
      <c r="L26" s="5">
        <f>D26/(1)</f>
        <v>1.2</v>
      </c>
    </row>
    <row r="27" spans="2:12" x14ac:dyDescent="0.3">
      <c r="B27" s="5">
        <v>21</v>
      </c>
      <c r="C27" s="5" t="s">
        <v>21</v>
      </c>
      <c r="D27" s="5">
        <v>0.6</v>
      </c>
      <c r="E27" s="5">
        <v>2</v>
      </c>
      <c r="F27" s="8">
        <f t="shared" si="15"/>
        <v>1.6666666666666666E-4</v>
      </c>
      <c r="G27" s="8">
        <f t="shared" si="16"/>
        <v>8.3333333333333331E-5</v>
      </c>
      <c r="H27" s="6">
        <f t="shared" si="17"/>
        <v>1.0300645387285055E-2</v>
      </c>
      <c r="I27" s="7">
        <f t="shared" si="18"/>
        <v>10.300645387285055</v>
      </c>
      <c r="J27" s="5">
        <v>16</v>
      </c>
      <c r="K27" s="1">
        <v>25</v>
      </c>
      <c r="L27" s="5">
        <f t="shared" ref="L27:L37" si="19">D27/(1)</f>
        <v>0.6</v>
      </c>
    </row>
    <row r="28" spans="2:12" x14ac:dyDescent="0.3">
      <c r="B28" s="5">
        <v>22</v>
      </c>
      <c r="C28" s="5" t="s">
        <v>22</v>
      </c>
      <c r="D28" s="5">
        <v>0.6</v>
      </c>
      <c r="E28" s="5">
        <v>2</v>
      </c>
      <c r="F28" s="8">
        <f t="shared" si="15"/>
        <v>1.6666666666666666E-4</v>
      </c>
      <c r="G28" s="8">
        <f t="shared" si="16"/>
        <v>8.3333333333333331E-5</v>
      </c>
      <c r="H28" s="6">
        <f t="shared" si="17"/>
        <v>1.0300645387285055E-2</v>
      </c>
      <c r="I28" s="7">
        <f t="shared" si="18"/>
        <v>10.300645387285055</v>
      </c>
      <c r="J28" s="5">
        <v>16</v>
      </c>
      <c r="K28" s="1">
        <v>25</v>
      </c>
      <c r="L28" s="5">
        <f t="shared" si="19"/>
        <v>0.6</v>
      </c>
    </row>
    <row r="29" spans="2:12" x14ac:dyDescent="0.3">
      <c r="B29" s="5">
        <v>23</v>
      </c>
      <c r="C29" s="5" t="s">
        <v>23</v>
      </c>
      <c r="D29" s="5">
        <v>0.36</v>
      </c>
      <c r="E29" s="5">
        <v>2</v>
      </c>
      <c r="F29" s="8">
        <f t="shared" si="15"/>
        <v>9.9999999999999991E-5</v>
      </c>
      <c r="G29" s="8">
        <f t="shared" si="16"/>
        <v>4.9999999999999996E-5</v>
      </c>
      <c r="H29" s="6">
        <f t="shared" si="17"/>
        <v>7.9788456080286535E-3</v>
      </c>
      <c r="I29" s="7">
        <f t="shared" si="18"/>
        <v>7.9788456080286538</v>
      </c>
      <c r="J29" s="5">
        <v>16</v>
      </c>
      <c r="K29" s="1">
        <v>25</v>
      </c>
      <c r="L29" s="5">
        <f t="shared" si="19"/>
        <v>0.36</v>
      </c>
    </row>
    <row r="30" spans="2:12" x14ac:dyDescent="0.3">
      <c r="B30" s="5">
        <v>24</v>
      </c>
      <c r="C30" s="5" t="s">
        <v>24</v>
      </c>
      <c r="D30" s="5">
        <v>0.36</v>
      </c>
      <c r="E30" s="5">
        <v>2</v>
      </c>
      <c r="F30" s="8">
        <f t="shared" si="15"/>
        <v>9.9999999999999991E-5</v>
      </c>
      <c r="G30" s="8">
        <f t="shared" si="16"/>
        <v>4.9999999999999996E-5</v>
      </c>
      <c r="H30" s="6">
        <f t="shared" si="17"/>
        <v>7.9788456080286535E-3</v>
      </c>
      <c r="I30" s="7">
        <f t="shared" si="18"/>
        <v>7.9788456080286538</v>
      </c>
      <c r="J30" s="5">
        <v>16</v>
      </c>
      <c r="K30" s="1">
        <v>25</v>
      </c>
      <c r="L30" s="5">
        <f t="shared" si="19"/>
        <v>0.36</v>
      </c>
    </row>
    <row r="31" spans="2:12" x14ac:dyDescent="0.3">
      <c r="B31" s="5">
        <v>25</v>
      </c>
      <c r="C31" s="5" t="s">
        <v>25</v>
      </c>
      <c r="D31" s="5">
        <v>0.36</v>
      </c>
      <c r="E31" s="5">
        <v>2</v>
      </c>
      <c r="F31" s="8">
        <f t="shared" si="15"/>
        <v>9.9999999999999991E-5</v>
      </c>
      <c r="G31" s="8">
        <f t="shared" si="16"/>
        <v>4.9999999999999996E-5</v>
      </c>
      <c r="H31" s="6">
        <f t="shared" si="17"/>
        <v>7.9788456080286535E-3</v>
      </c>
      <c r="I31" s="7">
        <f t="shared" si="18"/>
        <v>7.9788456080286538</v>
      </c>
      <c r="J31" s="5">
        <v>16</v>
      </c>
      <c r="K31" s="1">
        <v>25</v>
      </c>
      <c r="L31" s="5">
        <f t="shared" si="19"/>
        <v>0.36</v>
      </c>
    </row>
    <row r="32" spans="2:12" x14ac:dyDescent="0.3">
      <c r="B32" s="5">
        <v>26</v>
      </c>
      <c r="C32" s="5" t="s">
        <v>26</v>
      </c>
      <c r="D32" s="5">
        <v>0.6</v>
      </c>
      <c r="E32" s="5">
        <v>2</v>
      </c>
      <c r="F32" s="8">
        <f t="shared" si="15"/>
        <v>1.6666666666666666E-4</v>
      </c>
      <c r="G32" s="8">
        <f t="shared" si="16"/>
        <v>8.3333333333333331E-5</v>
      </c>
      <c r="H32" s="6">
        <f t="shared" si="17"/>
        <v>1.0300645387285055E-2</v>
      </c>
      <c r="I32" s="7">
        <f t="shared" si="18"/>
        <v>10.300645387285055</v>
      </c>
      <c r="J32" s="5">
        <v>16</v>
      </c>
      <c r="K32" s="1">
        <v>25</v>
      </c>
      <c r="L32" s="5">
        <f t="shared" si="19"/>
        <v>0.6</v>
      </c>
    </row>
    <row r="33" spans="2:13" x14ac:dyDescent="0.3">
      <c r="B33" s="5">
        <v>27</v>
      </c>
      <c r="C33" s="5" t="s">
        <v>27</v>
      </c>
      <c r="D33" s="5">
        <v>0.36</v>
      </c>
      <c r="E33" s="5">
        <v>2</v>
      </c>
      <c r="F33" s="8">
        <f t="shared" si="15"/>
        <v>9.9999999999999991E-5</v>
      </c>
      <c r="G33" s="8">
        <f t="shared" si="16"/>
        <v>4.9999999999999996E-5</v>
      </c>
      <c r="H33" s="6">
        <f t="shared" si="17"/>
        <v>7.9788456080286535E-3</v>
      </c>
      <c r="I33" s="7">
        <f t="shared" si="18"/>
        <v>7.9788456080286538</v>
      </c>
      <c r="J33" s="5">
        <v>16</v>
      </c>
      <c r="K33" s="1">
        <v>25</v>
      </c>
      <c r="L33" s="5">
        <f t="shared" si="19"/>
        <v>0.36</v>
      </c>
    </row>
    <row r="34" spans="2:13" x14ac:dyDescent="0.3">
      <c r="B34" s="5">
        <v>28</v>
      </c>
      <c r="C34" s="5" t="s">
        <v>28</v>
      </c>
      <c r="D34" s="5">
        <v>0.6</v>
      </c>
      <c r="E34" s="5">
        <v>2</v>
      </c>
      <c r="F34" s="8">
        <f t="shared" si="15"/>
        <v>1.6666666666666666E-4</v>
      </c>
      <c r="G34" s="8">
        <f t="shared" si="16"/>
        <v>8.3333333333333331E-5</v>
      </c>
      <c r="H34" s="6">
        <f t="shared" si="17"/>
        <v>1.0300645387285055E-2</v>
      </c>
      <c r="I34" s="7">
        <f t="shared" si="18"/>
        <v>10.300645387285055</v>
      </c>
      <c r="J34" s="5">
        <v>16</v>
      </c>
      <c r="K34" s="1">
        <v>25</v>
      </c>
      <c r="L34" s="5">
        <f t="shared" si="19"/>
        <v>0.6</v>
      </c>
    </row>
    <row r="35" spans="2:13" x14ac:dyDescent="0.3">
      <c r="B35" s="27">
        <v>29</v>
      </c>
      <c r="C35" s="5" t="s">
        <v>29</v>
      </c>
      <c r="D35" s="5">
        <v>0.9</v>
      </c>
      <c r="E35" s="5">
        <v>2</v>
      </c>
      <c r="F35" s="8">
        <f t="shared" si="15"/>
        <v>2.5000000000000001E-4</v>
      </c>
      <c r="G35" s="8">
        <f t="shared" si="16"/>
        <v>1.25E-4</v>
      </c>
      <c r="H35" s="6">
        <f t="shared" si="17"/>
        <v>1.2615662610100801E-2</v>
      </c>
      <c r="I35" s="7">
        <f t="shared" si="18"/>
        <v>12.6156626101008</v>
      </c>
      <c r="J35" s="5">
        <v>16</v>
      </c>
      <c r="K35" s="1">
        <v>25</v>
      </c>
      <c r="L35" s="5"/>
    </row>
    <row r="36" spans="2:13" x14ac:dyDescent="0.3">
      <c r="B36" s="27">
        <v>30</v>
      </c>
      <c r="C36" s="5" t="s">
        <v>30</v>
      </c>
      <c r="D36" s="5">
        <v>0.6</v>
      </c>
      <c r="E36" s="5">
        <v>2</v>
      </c>
      <c r="F36" s="8">
        <f t="shared" si="15"/>
        <v>1.6666666666666666E-4</v>
      </c>
      <c r="G36" s="8">
        <f t="shared" si="16"/>
        <v>8.3333333333333331E-5</v>
      </c>
      <c r="H36" s="6">
        <f t="shared" si="17"/>
        <v>1.0300645387285055E-2</v>
      </c>
      <c r="I36" s="7">
        <f t="shared" si="18"/>
        <v>10.300645387285055</v>
      </c>
      <c r="J36" s="5">
        <v>16</v>
      </c>
      <c r="K36" s="1">
        <v>25</v>
      </c>
      <c r="L36" s="5"/>
    </row>
    <row r="37" spans="2:13" x14ac:dyDescent="0.3">
      <c r="B37" s="5">
        <v>31</v>
      </c>
      <c r="C37" s="5" t="s">
        <v>31</v>
      </c>
      <c r="D37" s="5">
        <v>1</v>
      </c>
      <c r="E37" s="5">
        <v>2</v>
      </c>
      <c r="F37" s="8">
        <f t="shared" si="15"/>
        <v>2.7777777777777778E-4</v>
      </c>
      <c r="G37" s="8">
        <f t="shared" si="16"/>
        <v>1.3888888888888889E-4</v>
      </c>
      <c r="H37" s="6">
        <f t="shared" si="17"/>
        <v>1.3298076013381089E-2</v>
      </c>
      <c r="I37" s="7">
        <f t="shared" si="18"/>
        <v>13.298076013381088</v>
      </c>
      <c r="J37" s="5">
        <v>16</v>
      </c>
      <c r="K37" s="1">
        <v>25</v>
      </c>
      <c r="L37" s="5">
        <f t="shared" si="19"/>
        <v>1</v>
      </c>
    </row>
    <row r="38" spans="2:13" x14ac:dyDescent="0.3">
      <c r="D38" s="5">
        <v>1</v>
      </c>
      <c r="E38" s="5">
        <v>2</v>
      </c>
      <c r="F38" s="8">
        <f t="shared" ref="F38" si="20">D38/3600</f>
        <v>2.7777777777777778E-4</v>
      </c>
      <c r="H38" s="2"/>
      <c r="I38" s="3"/>
    </row>
    <row r="39" spans="2:13" x14ac:dyDescent="0.3">
      <c r="L39" s="3">
        <f>SUM(L6:L37)</f>
        <v>41.200000000000024</v>
      </c>
      <c r="M39" s="17" t="s">
        <v>37</v>
      </c>
    </row>
    <row r="41" spans="2:13" x14ac:dyDescent="0.3">
      <c r="D41" s="1">
        <v>4</v>
      </c>
      <c r="E41" s="1">
        <v>2</v>
      </c>
    </row>
    <row r="46" spans="2:13" x14ac:dyDescent="0.3">
      <c r="H46" s="2"/>
      <c r="I46" s="3"/>
      <c r="L46" s="17"/>
    </row>
    <row r="47" spans="2:13" x14ac:dyDescent="0.3">
      <c r="C47" s="13" t="s">
        <v>35</v>
      </c>
      <c r="D47" s="13"/>
      <c r="E47" s="13">
        <v>2</v>
      </c>
      <c r="F47" s="13">
        <v>1.9E-2</v>
      </c>
      <c r="G47" s="13">
        <f t="shared" si="1"/>
        <v>9.4999999999999998E-3</v>
      </c>
      <c r="H47" s="14">
        <f t="shared" si="2"/>
        <v>0.10998079684646792</v>
      </c>
      <c r="I47" s="15">
        <f t="shared" si="3"/>
        <v>109.98079684646791</v>
      </c>
    </row>
    <row r="49" spans="6:7" x14ac:dyDescent="0.3">
      <c r="F49" s="16"/>
      <c r="G49" s="16"/>
    </row>
    <row r="50" spans="6:7" x14ac:dyDescent="0.3">
      <c r="F50" s="16"/>
    </row>
    <row r="51" spans="6:7" x14ac:dyDescent="0.3">
      <c r="F51" s="16"/>
    </row>
    <row r="52" spans="6:7" x14ac:dyDescent="0.3">
      <c r="F52" s="16"/>
    </row>
    <row r="53" spans="6:7" x14ac:dyDescent="0.3">
      <c r="F53" s="16"/>
    </row>
    <row r="54" spans="6:7" x14ac:dyDescent="0.3">
      <c r="F54" s="16"/>
    </row>
    <row r="55" spans="6:7" x14ac:dyDescent="0.3">
      <c r="F55" s="16"/>
    </row>
    <row r="56" spans="6:7" x14ac:dyDescent="0.3">
      <c r="F56" s="16"/>
    </row>
    <row r="57" spans="6:7" x14ac:dyDescent="0.3">
      <c r="F57" s="16"/>
    </row>
    <row r="58" spans="6:7" x14ac:dyDescent="0.3">
      <c r="F58" s="16"/>
    </row>
    <row r="59" spans="6:7" x14ac:dyDescent="0.3">
      <c r="F59" s="16"/>
    </row>
  </sheetData>
  <mergeCells count="2">
    <mergeCell ref="B3:J4"/>
    <mergeCell ref="M5:S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2026-02-25T11:45:10Z</dcterms:created>
  <dcterms:modified xsi:type="dcterms:W3CDTF">2026-06-12T10:21:26Z</dcterms:modified>
</cp:coreProperties>
</file>