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porateroot-my.sharepoint.com/personal/charan_kumar_haskoning_com/Documents/Calculations/"/>
    </mc:Choice>
  </mc:AlternateContent>
  <xr:revisionPtr revIDLastSave="66" documentId="8_{3A2A0DF5-7118-4AA2-AE29-F0932B006007}" xr6:coauthVersionLast="47" xr6:coauthVersionMax="47" xr10:uidLastSave="{237F4D11-B1CF-4F6E-913E-B2C34BE3461C}"/>
  <bookViews>
    <workbookView xWindow="-108" yWindow="-108" windowWidth="23256" windowHeight="12456" xr2:uid="{E8543531-07D3-4655-9CC3-DBDD995A2E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5" i="1" l="1"/>
  <c r="L13" i="1"/>
  <c r="D23" i="1"/>
  <c r="D22" i="1"/>
  <c r="D21" i="1"/>
  <c r="P15" i="1" l="1"/>
  <c r="D14" i="1" s="1"/>
  <c r="D17" i="1" s="1"/>
  <c r="L17" i="1"/>
  <c r="H14" i="1" l="1"/>
  <c r="H17" i="1" s="1"/>
</calcChain>
</file>

<file path=xl/sharedStrings.xml><?xml version="1.0" encoding="utf-8"?>
<sst xmlns="http://schemas.openxmlformats.org/spreadsheetml/2006/main" count="41" uniqueCount="20">
  <si>
    <t>Q</t>
  </si>
  <si>
    <t>A</t>
  </si>
  <si>
    <t>V</t>
  </si>
  <si>
    <t>m2</t>
  </si>
  <si>
    <t>m/sec</t>
  </si>
  <si>
    <t>FINDING FLOW</t>
  </si>
  <si>
    <t>?</t>
  </si>
  <si>
    <t>FINDING VELOCITY</t>
  </si>
  <si>
    <t>FINDING AREA</t>
  </si>
  <si>
    <t>D</t>
  </si>
  <si>
    <t>FINDING AREA FROM DIA</t>
  </si>
  <si>
    <t>mm</t>
  </si>
  <si>
    <t xml:space="preserve">HYDRAULIC FORMULAS </t>
  </si>
  <si>
    <t xml:space="preserve">CONTINUITY EQUATION </t>
  </si>
  <si>
    <t>CONVERSTIONS</t>
  </si>
  <si>
    <t>m3/sec</t>
  </si>
  <si>
    <t>m</t>
  </si>
  <si>
    <t>sec</t>
  </si>
  <si>
    <t>min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</si>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</sst>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/>
    <xf numFmtId="2" fontId="1" fillId="2" borderId="0" xfId="0" applyNumberFormat="1" applyFont="1" applyFill="1"/>
    <xf numFmtId="164" fontId="0" fillId="0" borderId="0" xfId="0" applyNumberFormat="1"/>
    <xf numFmtId="0" fontId="0" fillId="0" borderId="0" xfId="0" applyAlignment="1">
      <alignment horizontal="left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D9B5-C313-4D62-9F0E-049D44A9FA0A}">
  <dimension ref="B1:X33"/>
  <sheetViews>
    <sheetView tabSelected="1" workbookViewId="0">
      <selection activeCell="G26" sqref="G26"/>
    </sheetView>
  </sheetViews>
  <sheetFormatPr defaultRowHeight="14.4" x14ac:dyDescent="0.3"/>
  <sheetData>
    <row r="1" spans="2:24" x14ac:dyDescent="0.3">
      <c r="B1" s="9" t="s">
        <v>12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2:24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2:24" x14ac:dyDescent="0.3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U3" s="7" t="s">
        <v>14</v>
      </c>
      <c r="V3" s="7"/>
      <c r="W3" s="7"/>
      <c r="X3" s="7"/>
    </row>
    <row r="4" spans="2:24" x14ac:dyDescent="0.3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U4" s="7"/>
      <c r="V4" s="7"/>
      <c r="W4" s="7"/>
      <c r="X4" s="7"/>
    </row>
    <row r="5" spans="2:24" x14ac:dyDescent="0.3">
      <c r="U5" s="7"/>
      <c r="V5" s="7"/>
      <c r="W5" s="7"/>
      <c r="X5" s="7"/>
    </row>
    <row r="6" spans="2:24" x14ac:dyDescent="0.3">
      <c r="C6" s="10" t="s">
        <v>13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7" spans="2:24" x14ac:dyDescent="0.3"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10" spans="2:24" x14ac:dyDescent="0.3">
      <c r="C10" s="8" t="s">
        <v>5</v>
      </c>
      <c r="D10" s="8"/>
      <c r="E10" s="8"/>
      <c r="G10" s="8" t="s">
        <v>7</v>
      </c>
      <c r="H10" s="8"/>
      <c r="I10" s="8"/>
      <c r="K10" s="8" t="s">
        <v>8</v>
      </c>
      <c r="L10" s="8"/>
      <c r="M10" s="8"/>
      <c r="O10" s="8" t="s">
        <v>10</v>
      </c>
      <c r="P10" s="8"/>
      <c r="Q10" s="8"/>
    </row>
    <row r="11" spans="2:24" x14ac:dyDescent="0.3">
      <c r="C11" s="8"/>
      <c r="D11" s="8"/>
      <c r="E11" s="8"/>
      <c r="G11" s="8"/>
      <c r="H11" s="8"/>
      <c r="I11" s="8"/>
      <c r="K11" s="8"/>
      <c r="L11" s="8"/>
      <c r="M11" s="8"/>
      <c r="O11" s="8"/>
      <c r="P11" s="8"/>
      <c r="Q11" s="8"/>
    </row>
    <row r="13" spans="2:24" x14ac:dyDescent="0.3">
      <c r="C13" t="s">
        <v>0</v>
      </c>
      <c r="D13" t="s">
        <v>6</v>
      </c>
      <c r="E13" t="s">
        <v>15</v>
      </c>
      <c r="G13" t="s">
        <v>0</v>
      </c>
      <c r="H13" s="5">
        <v>1.3055555599999999E-2</v>
      </c>
      <c r="I13" t="s">
        <v>15</v>
      </c>
      <c r="K13" t="s">
        <v>0</v>
      </c>
      <c r="L13">
        <f>D17</f>
        <v>3.9269908169872417E-3</v>
      </c>
      <c r="M13" t="s">
        <v>15</v>
      </c>
      <c r="O13" t="s">
        <v>9</v>
      </c>
      <c r="P13">
        <v>0.05</v>
      </c>
      <c r="Q13" t="s">
        <v>16</v>
      </c>
    </row>
    <row r="14" spans="2:24" x14ac:dyDescent="0.3">
      <c r="C14" t="s">
        <v>1</v>
      </c>
      <c r="D14">
        <f>P15</f>
        <v>1.9634954084936209E-3</v>
      </c>
      <c r="E14" t="s">
        <v>3</v>
      </c>
      <c r="G14" t="s">
        <v>1</v>
      </c>
      <c r="H14" s="5">
        <f>P15</f>
        <v>1.9634954084936209E-3</v>
      </c>
      <c r="I14" t="s">
        <v>3</v>
      </c>
      <c r="K14" t="s">
        <v>1</v>
      </c>
      <c r="L14" t="s">
        <v>6</v>
      </c>
      <c r="M14" t="s">
        <v>3</v>
      </c>
    </row>
    <row r="15" spans="2:24" x14ac:dyDescent="0.3">
      <c r="C15" t="s">
        <v>2</v>
      </c>
      <c r="D15">
        <v>2</v>
      </c>
      <c r="E15" t="s">
        <v>4</v>
      </c>
      <c r="G15" t="s">
        <v>2</v>
      </c>
      <c r="H15" t="s">
        <v>6</v>
      </c>
      <c r="I15" t="s">
        <v>4</v>
      </c>
      <c r="K15" t="s">
        <v>2</v>
      </c>
      <c r="L15">
        <f>D15</f>
        <v>2</v>
      </c>
      <c r="M15" t="s">
        <v>4</v>
      </c>
      <c r="O15" t="s">
        <v>1</v>
      </c>
      <c r="P15" s="2">
        <f>(PI()/4)*P13^2</f>
        <v>1.9634954084936209E-3</v>
      </c>
      <c r="Q15" t="s">
        <v>3</v>
      </c>
    </row>
    <row r="17" spans="3:13" x14ac:dyDescent="0.3">
      <c r="C17" s="3" t="s">
        <v>0</v>
      </c>
      <c r="D17" s="1">
        <f>D14*D15</f>
        <v>3.9269908169872417E-3</v>
      </c>
      <c r="E17" t="s">
        <v>15</v>
      </c>
      <c r="G17" s="3" t="s">
        <v>2</v>
      </c>
      <c r="H17" s="4">
        <f>(H13)/(H14)</f>
        <v>6.6491398673634405</v>
      </c>
      <c r="I17" t="s">
        <v>4</v>
      </c>
      <c r="K17" s="3" t="s">
        <v>1</v>
      </c>
      <c r="L17" s="1">
        <f>L13/L15</f>
        <v>1.9634954084936209E-3</v>
      </c>
      <c r="M17" t="s">
        <v>11</v>
      </c>
    </row>
    <row r="21" spans="3:13" x14ac:dyDescent="0.3">
      <c r="C21" s="6"/>
      <c r="D21" s="6">
        <f>4/D17</f>
        <v>1018.5916357881301</v>
      </c>
      <c r="E21" s="6" t="s">
        <v>17</v>
      </c>
    </row>
    <row r="22" spans="3:13" x14ac:dyDescent="0.3">
      <c r="D22">
        <f>D21/60</f>
        <v>16.976527263135502</v>
      </c>
      <c r="E22" t="s">
        <v>18</v>
      </c>
    </row>
    <row r="23" spans="3:13" x14ac:dyDescent="0.3">
      <c r="D23">
        <f>D21/3600</f>
        <v>0.28294212105225836</v>
      </c>
      <c r="E23" t="s">
        <v>19</v>
      </c>
    </row>
    <row r="33" spans="10:10" x14ac:dyDescent="0.3">
      <c r="J33" s="3"/>
    </row>
  </sheetData>
  <mergeCells count="7">
    <mergeCell ref="U3:X5"/>
    <mergeCell ref="C10:E11"/>
    <mergeCell ref="G10:I11"/>
    <mergeCell ref="K10:M11"/>
    <mergeCell ref="O10:Q11"/>
    <mergeCell ref="B1:R4"/>
    <mergeCell ref="C6:Q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Kumar</dc:creator>
  <cp:lastModifiedBy>Charan Kumar</cp:lastModifiedBy>
  <dcterms:created xsi:type="dcterms:W3CDTF">2026-05-14T04:30:43Z</dcterms:created>
  <dcterms:modified xsi:type="dcterms:W3CDTF">2026-06-12T11:05:48Z</dcterms:modified>
</cp:coreProperties>
</file>