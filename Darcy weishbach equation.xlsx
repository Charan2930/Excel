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orateroot-my.sharepoint.com/personal/charan_kumar_haskoning_com/Documents/Calculations/"/>
    </mc:Choice>
  </mc:AlternateContent>
  <xr:revisionPtr revIDLastSave="113" documentId="8_{B1E99B65-47AF-4AE4-8CD8-3D689D536601}" xr6:coauthVersionLast="47" xr6:coauthVersionMax="47" xr10:uidLastSave="{0F597563-1F66-4F90-BED0-EA07F20B1633}"/>
  <bookViews>
    <workbookView xWindow="28680" yWindow="-120" windowWidth="29040" windowHeight="15720" xr2:uid="{CBA2F47C-73B7-48E4-BF31-21B001413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D14" i="1"/>
  <c r="G46" i="1"/>
  <c r="D12" i="1"/>
  <c r="C42" i="1"/>
  <c r="C41" i="1"/>
  <c r="C22" i="1"/>
  <c r="C23" i="1" s="1"/>
  <c r="C36" i="1"/>
  <c r="D15" i="1"/>
  <c r="C39" i="1"/>
  <c r="C40" i="1" s="1"/>
  <c r="D13" i="1" l="1"/>
  <c r="D18" i="1" l="1"/>
  <c r="C55" i="1" l="1"/>
  <c r="C59" i="1" s="1"/>
  <c r="C60" i="1" l="1"/>
  <c r="C62" i="1" s="1"/>
  <c r="D17" i="1" l="1"/>
  <c r="G47" i="1" s="1"/>
</calcChain>
</file>

<file path=xl/sharedStrings.xml><?xml version="1.0" encoding="utf-8"?>
<sst xmlns="http://schemas.openxmlformats.org/spreadsheetml/2006/main" count="62" uniqueCount="52">
  <si>
    <t>Darcy weisbach equation formula</t>
  </si>
  <si>
    <t>Sr no</t>
  </si>
  <si>
    <t>Parameters</t>
  </si>
  <si>
    <t>units</t>
  </si>
  <si>
    <t>Q (flow)</t>
  </si>
  <si>
    <t>value</t>
  </si>
  <si>
    <t>m3/sec</t>
  </si>
  <si>
    <t>m</t>
  </si>
  <si>
    <t>L (length)</t>
  </si>
  <si>
    <t>V (velocity)</t>
  </si>
  <si>
    <t>m/sec</t>
  </si>
  <si>
    <t>D (diameter)</t>
  </si>
  <si>
    <t>μ (dynamic viscosity)</t>
  </si>
  <si>
    <t>ρ (desnity)</t>
  </si>
  <si>
    <t>f (darcy frictional factor)</t>
  </si>
  <si>
    <t>pa s</t>
  </si>
  <si>
    <t>kg/m3</t>
  </si>
  <si>
    <t>Darcy 
weishbach
equation</t>
  </si>
  <si>
    <t>P</t>
  </si>
  <si>
    <t>To find the frictional factor</t>
  </si>
  <si>
    <t>Note : using swamee-jain approximation for calculation</t>
  </si>
  <si>
    <r>
      <t xml:space="preserve">where
</t>
    </r>
    <r>
      <rPr>
        <b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=frictional factor
</t>
    </r>
    <r>
      <rPr>
        <b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=length (m)
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=diameter of pipe (m)
</t>
    </r>
    <r>
      <rPr>
        <b/>
        <sz val="11"/>
        <color theme="1"/>
        <rFont val="Aptos Narrow"/>
        <family val="2"/>
        <scheme val="minor"/>
      </rPr>
      <t>ρ</t>
    </r>
    <r>
      <rPr>
        <sz val="11"/>
        <color theme="1"/>
        <rFont val="Aptos Narrow"/>
        <family val="2"/>
        <scheme val="minor"/>
      </rPr>
      <t xml:space="preserve">=density of fluid (kg/m3)
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>=velocity (m/sec)</t>
    </r>
  </si>
  <si>
    <t>re</t>
  </si>
  <si>
    <t>reynolds number</t>
  </si>
  <si>
    <t>f</t>
  </si>
  <si>
    <t>D</t>
  </si>
  <si>
    <t>D^2</t>
  </si>
  <si>
    <t>considering nearest 0.250m</t>
  </si>
  <si>
    <t>dia calculation using continiuty equation</t>
  </si>
  <si>
    <t>ID</t>
  </si>
  <si>
    <t>ID calculation</t>
  </si>
  <si>
    <t>t</t>
  </si>
  <si>
    <t>mm</t>
  </si>
  <si>
    <t>OD</t>
  </si>
  <si>
    <t>note</t>
  </si>
  <si>
    <t>using jain approximational formula for (f)</t>
  </si>
  <si>
    <t>T=linings thickness (1.6*2) because to cover whole diameter</t>
  </si>
  <si>
    <t>absolute roughness</t>
  </si>
  <si>
    <r>
      <t xml:space="preserve">ε </t>
    </r>
    <r>
      <rPr>
        <sz val="11"/>
        <color theme="1"/>
        <rFont val="Aptos Narrow"/>
        <family val="2"/>
      </rPr>
      <t>( absolute roughness)</t>
    </r>
    <r>
      <rPr>
        <sz val="11"/>
        <color theme="1"/>
        <rFont val="Yu Gothic UI"/>
        <family val="2"/>
      </rPr>
      <t xml:space="preserve"> DI</t>
    </r>
  </si>
  <si>
    <t>dynamic viscosity</t>
  </si>
  <si>
    <t>solving below equation</t>
  </si>
  <si>
    <t>Solving log base 10</t>
  </si>
  <si>
    <t>log10()</t>
  </si>
  <si>
    <t>Note : calculating the inside dia of pipe
ID=OD-2(t)-2(T)
ID-inner dia t- wall thickness
OD -outer dia T-linning thickness</t>
  </si>
  <si>
    <t>solving darcy weishbach equation</t>
  </si>
  <si>
    <t>pas</t>
  </si>
  <si>
    <t>bar</t>
  </si>
  <si>
    <t>t linning</t>
  </si>
  <si>
    <t>Vp</t>
  </si>
  <si>
    <t>Vp(velocity in the pipe)</t>
  </si>
  <si>
    <t>a</t>
  </si>
  <si>
    <r>
      <t xml:space="preserve">the velocity in pressure is calculated by </t>
    </r>
    <r>
      <rPr>
        <b/>
        <sz val="11"/>
        <color theme="1"/>
        <rFont val="Aptos Narrow"/>
        <family val="2"/>
        <scheme val="minor"/>
      </rPr>
      <t>Q=A*V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</si>
</sst>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E+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Yu Gothic UI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E1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top"/>
    </xf>
    <xf numFmtId="165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165" fontId="1" fillId="4" borderId="0" xfId="0" applyNumberFormat="1" applyFont="1" applyFill="1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563879</xdr:colOff>
      <xdr:row>6</xdr:row>
      <xdr:rowOff>178486</xdr:rowOff>
    </xdr:from>
    <xdr:to>
      <xdr:col>11</xdr:col>
      <xdr:colOff>321945</xdr:colOff>
      <xdr:row>11</xdr:row>
      <xdr:rowOff>19940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D23E2-4B51-12F1-2D42-0F37F4A5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4704" y="1264336"/>
          <a:ext cx="1586866" cy="746329"/>
        </a:xfrm>
        <a:prstGeom prst="rect">
          <a:avLst/>
        </a:prstGeom>
      </xdr:spPr>
    </xdr:pic>
    <xdr:clientData/>
  </xdr:twoCellAnchor>
  <xdr:oneCellAnchor>
    <xdr:from>
      <xdr:col>11</xdr:col>
      <xdr:colOff>17145</xdr:colOff>
      <xdr:row>17</xdr:row>
      <xdr:rowOff>130492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A70974-E69D-47F9-D83D-CBC93E34460B}"/>
            </a:ext>
          </a:extLst>
        </xdr:cNvPr>
        <xdr:cNvSpPr txBox="1"/>
      </xdr:nvSpPr>
      <xdr:spPr>
        <a:xfrm>
          <a:off x="8446770" y="305466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14</xdr:col>
      <xdr:colOff>161925</xdr:colOff>
      <xdr:row>8</xdr:row>
      <xdr:rowOff>103026</xdr:rowOff>
    </xdr:from>
    <xdr:to>
      <xdr:col>21</xdr:col>
      <xdr:colOff>326757</xdr:colOff>
      <xdr:row>21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2EEA2C-8702-1C06-F1E6-B3A063EF7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50" y="1550826"/>
          <a:ext cx="5146407" cy="2322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380999</xdr:colOff>
      <xdr:row>26</xdr:row>
      <xdr:rowOff>16948</xdr:rowOff>
    </xdr:from>
    <xdr:to>
      <xdr:col>12</xdr:col>
      <xdr:colOff>307956</xdr:colOff>
      <xdr:row>31</xdr:row>
      <xdr:rowOff>57395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5F4FE6-6A4F-9EC9-7C9B-79D4E4FE7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9674" y="4569898"/>
          <a:ext cx="4803757" cy="941512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</xdr:colOff>
      <xdr:row>31</xdr:row>
      <xdr:rowOff>133350</xdr:rowOff>
    </xdr:from>
    <xdr:to>
      <xdr:col>12</xdr:col>
      <xdr:colOff>512445</xdr:colOff>
      <xdr:row>34</xdr:row>
      <xdr:rowOff>173995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5884B7-BD0F-63D7-BC6A-DE9387E1C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82490" y="7038975"/>
          <a:ext cx="5349240" cy="587380"/>
        </a:xfrm>
        <a:prstGeom prst="rect">
          <a:avLst/>
        </a:prstGeom>
      </xdr:spPr>
    </xdr:pic>
    <xdr:clientData/>
  </xdr:twoCellAnchor>
  <xdr:twoCellAnchor editAs="oneCell">
    <xdr:from>
      <xdr:col>4</xdr:col>
      <xdr:colOff>64769</xdr:colOff>
      <xdr:row>35</xdr:row>
      <xdr:rowOff>11430</xdr:rowOff>
    </xdr:from>
    <xdr:to>
      <xdr:col>12</xdr:col>
      <xdr:colOff>518159</xdr:colOff>
      <xdr:row>37</xdr:row>
      <xdr:rowOff>59092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5A428FB-3456-45B5-98F4-F7CE470DC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03444" y="6193155"/>
          <a:ext cx="5335905" cy="409612"/>
        </a:xfrm>
        <a:prstGeom prst="rect">
          <a:avLst/>
        </a:prstGeom>
      </xdr:spPr>
    </xdr:pic>
    <xdr:clientData/>
  </xdr:twoCellAnchor>
  <xdr:twoCellAnchor editAs="oneCell">
    <xdr:from>
      <xdr:col>15</xdr:col>
      <xdr:colOff>1304925</xdr:colOff>
      <xdr:row>30</xdr:row>
      <xdr:rowOff>104140</xdr:rowOff>
    </xdr:from>
    <xdr:to>
      <xdr:col>19</xdr:col>
      <xdr:colOff>149219</xdr:colOff>
      <xdr:row>32</xdr:row>
      <xdr:rowOff>97268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991301-74F3-CE6E-9602-92BFB77D0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44425" y="5380990"/>
          <a:ext cx="1997069" cy="358888"/>
        </a:xfrm>
        <a:prstGeom prst="rect">
          <a:avLst/>
        </a:prstGeom>
      </xdr:spPr>
    </xdr:pic>
    <xdr:clientData/>
  </xdr:twoCellAnchor>
  <xdr:twoCellAnchor editAs="oneCell">
    <xdr:from>
      <xdr:col>15</xdr:col>
      <xdr:colOff>1291590</xdr:colOff>
      <xdr:row>32</xdr:row>
      <xdr:rowOff>158139</xdr:rowOff>
    </xdr:from>
    <xdr:to>
      <xdr:col>21</xdr:col>
      <xdr:colOff>588645</xdr:colOff>
      <xdr:row>34</xdr:row>
      <xdr:rowOff>40078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5DC169D-AD45-D73E-F793-D34846CD1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31090" y="5796939"/>
          <a:ext cx="3680460" cy="243889"/>
        </a:xfrm>
        <a:prstGeom prst="rect">
          <a:avLst/>
        </a:prstGeom>
      </xdr:spPr>
    </xdr:pic>
    <xdr:clientData/>
  </xdr:twoCellAnchor>
  <xdr:twoCellAnchor editAs="oneCell">
    <xdr:from>
      <xdr:col>15</xdr:col>
      <xdr:colOff>1259205</xdr:colOff>
      <xdr:row>34</xdr:row>
      <xdr:rowOff>30896</xdr:rowOff>
    </xdr:from>
    <xdr:to>
      <xdr:col>22</xdr:col>
      <xdr:colOff>55245</xdr:colOff>
      <xdr:row>36</xdr:row>
      <xdr:rowOff>17670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3978DDB-5E5D-A7AD-F99C-AFE7FCDD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98705" y="6031646"/>
          <a:ext cx="3789045" cy="360154"/>
        </a:xfrm>
        <a:prstGeom prst="rect">
          <a:avLst/>
        </a:prstGeom>
      </xdr:spPr>
    </xdr:pic>
    <xdr:clientData/>
  </xdr:twoCellAnchor>
  <xdr:oneCellAnchor>
    <xdr:from>
      <xdr:col>1</xdr:col>
      <xdr:colOff>180975</xdr:colOff>
      <xdr:row>49</xdr:row>
      <xdr:rowOff>97154</xdr:rowOff>
    </xdr:from>
    <xdr:ext cx="1759774" cy="6430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6C0A7A4-0DE3-41E3-C144-82E1068F49A5}"/>
                </a:ext>
              </a:extLst>
            </xdr:cNvPr>
            <xdr:cNvSpPr txBox="1"/>
          </xdr:nvSpPr>
          <xdr:spPr>
            <a:xfrm>
              <a:off x="790575" y="8812529"/>
              <a:ext cx="1759774" cy="6430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IN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600" i="1">
                          <a:latin typeface="Cambria Math" panose="02040503050406030204" pitchFamily="18" charset="0"/>
                        </a:rPr>
                        <m:t>𝜀</m:t>
                      </m:r>
                    </m:num>
                    <m:den>
                      <m:r>
                        <a:rPr lang="en-IN" sz="1600" b="0" i="1">
                          <a:latin typeface="Cambria Math" panose="02040503050406030204" pitchFamily="18" charset="0"/>
                        </a:rPr>
                        <m:t>3.7</m:t>
                      </m:r>
                      <m:r>
                        <a:rPr lang="en-IN" sz="1600" b="0" i="1">
                          <a:latin typeface="Cambria Math" panose="02040503050406030204" pitchFamily="18" charset="0"/>
                        </a:rPr>
                        <m:t>𝐷</m:t>
                      </m:r>
                    </m:den>
                  </m:f>
                </m:oMath>
              </a14:m>
              <a:r>
                <a:rPr lang="en-IN" sz="1600"/>
                <a:t> + </a:t>
              </a:r>
              <a14:m>
                <m:oMath xmlns:m="http://schemas.openxmlformats.org/officeDocument/2006/math">
                  <m:f>
                    <m:fPr>
                      <m:ctrlPr>
                        <a:rPr lang="en-IN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IN" sz="1600" b="0" i="1">
                          <a:latin typeface="Cambria Math" panose="02040503050406030204" pitchFamily="18" charset="0"/>
                        </a:rPr>
                        <m:t>5.74</m:t>
                      </m:r>
                    </m:num>
                    <m:den>
                      <m:r>
                        <a:rPr lang="en-IN" sz="1600" b="0" i="1">
                          <a:latin typeface="Cambria Math" panose="02040503050406030204" pitchFamily="18" charset="0"/>
                        </a:rPr>
                        <m:t>𝑟𝑒</m:t>
                      </m:r>
                      <m:r>
                        <a:rPr lang="en-IN" sz="1600" b="0" i="1">
                          <a:latin typeface="Cambria Math" panose="02040503050406030204" pitchFamily="18" charset="0"/>
                        </a:rPr>
                        <m:t>^0.9</m:t>
                      </m:r>
                    </m:den>
                  </m:f>
                </m:oMath>
              </a14:m>
              <a:endParaRPr lang="en-IN" sz="16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6C0A7A4-0DE3-41E3-C144-82E1068F49A5}"/>
                </a:ext>
              </a:extLst>
            </xdr:cNvPr>
            <xdr:cNvSpPr txBox="1"/>
          </xdr:nvSpPr>
          <xdr:spPr>
            <a:xfrm>
              <a:off x="790575" y="8812529"/>
              <a:ext cx="1759774" cy="6430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l-GR" sz="1600" i="0">
                  <a:latin typeface="Cambria Math" panose="02040503050406030204" pitchFamily="18" charset="0"/>
                </a:rPr>
                <a:t>𝜀</a:t>
              </a:r>
              <a:r>
                <a:rPr lang="en-IN" sz="1600" i="0">
                  <a:latin typeface="Cambria Math" panose="02040503050406030204" pitchFamily="18" charset="0"/>
                </a:rPr>
                <a:t>/</a:t>
              </a:r>
              <a:r>
                <a:rPr lang="en-IN" sz="1600" b="0" i="0">
                  <a:latin typeface="Cambria Math" panose="02040503050406030204" pitchFamily="18" charset="0"/>
                </a:rPr>
                <a:t>3.7𝐷</a:t>
              </a:r>
              <a:r>
                <a:rPr lang="en-IN" sz="1600"/>
                <a:t> + </a:t>
              </a:r>
              <a:r>
                <a:rPr lang="en-IN" sz="1600" b="0" i="0">
                  <a:latin typeface="Cambria Math" panose="02040503050406030204" pitchFamily="18" charset="0"/>
                </a:rPr>
                <a:t>5.74/(𝑟𝑒^0.9)</a:t>
              </a:r>
              <a:endParaRPr lang="en-IN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D699-66D4-44D5-B19B-A0E9C64A673A}">
  <dimension ref="A1:W62"/>
  <sheetViews>
    <sheetView tabSelected="1" topLeftCell="A6" zoomScaleNormal="100" workbookViewId="0">
      <selection activeCell="C46" sqref="C46"/>
    </sheetView>
  </sheetViews>
  <sheetFormatPr defaultRowHeight="14.4" x14ac:dyDescent="0.3"/>
  <cols>
    <col min="1" max="1" width="8.88671875" style="2"/>
    <col min="2" max="2" width="7.33203125" style="2" customWidth="1"/>
    <col min="3" max="3" width="33.33203125" style="2" customWidth="1"/>
    <col min="4" max="4" width="16.5546875" style="2" customWidth="1"/>
    <col min="5" max="15" width="8.88671875" style="2"/>
    <col min="16" max="16" width="19.33203125" style="2" bestFit="1" customWidth="1"/>
    <col min="17" max="16384" width="8.88671875" style="2"/>
  </cols>
  <sheetData>
    <row r="1" spans="1:23" ht="14.4" customHeigh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14.4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4.4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14.4" customHeight="1" x14ac:dyDescent="0.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4.4" customHeight="1" x14ac:dyDescent="0.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8" spans="1:23" ht="14.4" customHeight="1" x14ac:dyDescent="0.3">
      <c r="B8" s="7" t="s">
        <v>1</v>
      </c>
      <c r="C8" s="7" t="s">
        <v>2</v>
      </c>
      <c r="D8" s="7" t="s">
        <v>5</v>
      </c>
      <c r="E8" s="7" t="s">
        <v>3</v>
      </c>
      <c r="H8" s="31" t="s">
        <v>17</v>
      </c>
      <c r="I8" s="31"/>
      <c r="J8" s="31"/>
      <c r="K8" s="31"/>
      <c r="L8" s="31"/>
      <c r="O8" s="29" t="s">
        <v>19</v>
      </c>
      <c r="P8" s="29"/>
      <c r="Q8" s="29"/>
      <c r="R8" s="29"/>
      <c r="S8" s="29"/>
      <c r="T8" s="29"/>
      <c r="U8" s="29"/>
      <c r="V8" s="29"/>
      <c r="W8" s="29"/>
    </row>
    <row r="9" spans="1:23" x14ac:dyDescent="0.3">
      <c r="B9" s="4">
        <v>1</v>
      </c>
      <c r="C9" s="4" t="s">
        <v>4</v>
      </c>
      <c r="D9" s="4">
        <v>9.4750000000000001E-2</v>
      </c>
      <c r="E9" s="4" t="s">
        <v>6</v>
      </c>
      <c r="H9" s="31"/>
      <c r="I9" s="31"/>
      <c r="J9" s="31"/>
      <c r="K9" s="31"/>
      <c r="L9" s="31"/>
      <c r="O9" s="29"/>
      <c r="P9" s="29"/>
      <c r="Q9" s="29"/>
      <c r="R9" s="29"/>
      <c r="S9" s="29"/>
      <c r="T9" s="29"/>
      <c r="U9" s="29"/>
      <c r="V9" s="29"/>
      <c r="W9" s="29"/>
    </row>
    <row r="10" spans="1:23" x14ac:dyDescent="0.3">
      <c r="B10" s="4">
        <v>2</v>
      </c>
      <c r="C10" s="4" t="s">
        <v>8</v>
      </c>
      <c r="D10" s="4">
        <v>1800</v>
      </c>
      <c r="E10" s="4" t="s">
        <v>7</v>
      </c>
      <c r="H10" s="31"/>
      <c r="I10" s="31"/>
      <c r="J10" s="31"/>
      <c r="K10" s="31"/>
      <c r="L10" s="31"/>
      <c r="O10" s="29"/>
      <c r="P10" s="29"/>
      <c r="Q10" s="29"/>
      <c r="R10" s="29"/>
      <c r="S10" s="29"/>
      <c r="T10" s="29"/>
      <c r="U10" s="29"/>
      <c r="V10" s="29"/>
      <c r="W10" s="29"/>
    </row>
    <row r="11" spans="1:23" x14ac:dyDescent="0.3">
      <c r="B11" s="4">
        <v>3</v>
      </c>
      <c r="C11" s="4" t="s">
        <v>9</v>
      </c>
      <c r="D11" s="4">
        <v>2.5</v>
      </c>
      <c r="E11" s="4" t="s">
        <v>10</v>
      </c>
      <c r="H11" s="31"/>
      <c r="I11" s="31"/>
      <c r="J11" s="31"/>
      <c r="K11" s="31"/>
      <c r="L11" s="31"/>
      <c r="O11" s="29"/>
      <c r="P11" s="29"/>
      <c r="Q11" s="29"/>
      <c r="R11" s="29"/>
      <c r="S11" s="29"/>
      <c r="T11" s="29"/>
      <c r="U11" s="29"/>
      <c r="V11" s="29"/>
      <c r="W11" s="29"/>
    </row>
    <row r="12" spans="1:23" x14ac:dyDescent="0.3">
      <c r="B12" s="4">
        <v>4</v>
      </c>
      <c r="C12" s="4" t="s">
        <v>49</v>
      </c>
      <c r="D12" s="4">
        <f>C42</f>
        <v>1.8236748496135058</v>
      </c>
      <c r="E12" s="4" t="s">
        <v>10</v>
      </c>
      <c r="H12" s="22"/>
      <c r="I12" s="22"/>
      <c r="J12" s="22"/>
      <c r="K12" s="22"/>
      <c r="L12" s="22"/>
      <c r="O12" s="29"/>
      <c r="P12" s="29"/>
      <c r="Q12" s="29"/>
      <c r="R12" s="29"/>
      <c r="S12" s="29"/>
      <c r="T12" s="29"/>
      <c r="U12" s="29"/>
      <c r="V12" s="29"/>
      <c r="W12" s="29"/>
    </row>
    <row r="13" spans="1:23" x14ac:dyDescent="0.3">
      <c r="B13" s="4">
        <v>5</v>
      </c>
      <c r="C13" s="4" t="s">
        <v>11</v>
      </c>
      <c r="D13" s="13">
        <f>C40</f>
        <v>0.25719999999999998</v>
      </c>
      <c r="E13" s="4" t="s">
        <v>7</v>
      </c>
      <c r="O13" s="29"/>
      <c r="P13" s="29"/>
      <c r="Q13" s="29"/>
      <c r="R13" s="29"/>
      <c r="S13" s="29"/>
      <c r="T13" s="29"/>
      <c r="U13" s="29"/>
      <c r="V13" s="29"/>
      <c r="W13" s="29"/>
    </row>
    <row r="14" spans="1:23" ht="16.8" customHeight="1" x14ac:dyDescent="0.3">
      <c r="B14" s="4">
        <v>6</v>
      </c>
      <c r="C14" s="5" t="s">
        <v>38</v>
      </c>
      <c r="D14" s="4">
        <f>0.061/1000</f>
        <v>6.0999999999999999E-5</v>
      </c>
      <c r="E14" s="4" t="s">
        <v>7</v>
      </c>
      <c r="H14" s="28" t="s">
        <v>21</v>
      </c>
      <c r="I14" s="28"/>
      <c r="J14" s="28"/>
      <c r="K14" s="28"/>
      <c r="L14" s="28"/>
      <c r="O14" s="29"/>
      <c r="P14" s="29"/>
      <c r="Q14" s="29"/>
      <c r="R14" s="29"/>
      <c r="S14" s="29"/>
      <c r="T14" s="29"/>
      <c r="U14" s="29"/>
      <c r="V14" s="29"/>
      <c r="W14" s="29"/>
    </row>
    <row r="15" spans="1:23" x14ac:dyDescent="0.3">
      <c r="B15" s="4">
        <v>7</v>
      </c>
      <c r="C15" s="6" t="s">
        <v>12</v>
      </c>
      <c r="D15" s="4">
        <f>1.002*10^-3</f>
        <v>1.0020000000000001E-3</v>
      </c>
      <c r="E15" s="4" t="s">
        <v>15</v>
      </c>
      <c r="H15" s="28"/>
      <c r="I15" s="28"/>
      <c r="J15" s="28"/>
      <c r="K15" s="28"/>
      <c r="L15" s="28"/>
      <c r="O15" s="29"/>
      <c r="P15" s="29"/>
      <c r="Q15" s="29"/>
      <c r="R15" s="29"/>
      <c r="S15" s="29"/>
      <c r="T15" s="29"/>
      <c r="U15" s="29"/>
      <c r="V15" s="29"/>
      <c r="W15" s="29"/>
    </row>
    <row r="16" spans="1:23" x14ac:dyDescent="0.3">
      <c r="B16" s="4">
        <v>8</v>
      </c>
      <c r="C16" s="6" t="s">
        <v>13</v>
      </c>
      <c r="D16" s="4">
        <v>1000</v>
      </c>
      <c r="E16" s="4" t="s">
        <v>16</v>
      </c>
      <c r="H16" s="28"/>
      <c r="I16" s="28"/>
      <c r="J16" s="28"/>
      <c r="K16" s="28"/>
      <c r="L16" s="28"/>
      <c r="O16" s="29"/>
      <c r="P16" s="29"/>
      <c r="Q16" s="29"/>
      <c r="R16" s="29"/>
      <c r="S16" s="29"/>
      <c r="T16" s="29"/>
      <c r="U16" s="29"/>
      <c r="V16" s="29"/>
      <c r="W16" s="29"/>
    </row>
    <row r="17" spans="1:23" x14ac:dyDescent="0.3">
      <c r="B17" s="4">
        <v>9</v>
      </c>
      <c r="C17" s="4" t="s">
        <v>14</v>
      </c>
      <c r="D17" s="13">
        <f>C62</f>
        <v>1.5932666023057897E-2</v>
      </c>
      <c r="E17" s="4"/>
      <c r="H17" s="28"/>
      <c r="I17" s="28"/>
      <c r="J17" s="28"/>
      <c r="K17" s="28"/>
      <c r="L17" s="28"/>
      <c r="O17" s="29"/>
      <c r="P17" s="29"/>
      <c r="Q17" s="29"/>
      <c r="R17" s="29"/>
      <c r="S17" s="29"/>
      <c r="T17" s="29"/>
      <c r="U17" s="29"/>
      <c r="V17" s="29"/>
      <c r="W17" s="29"/>
    </row>
    <row r="18" spans="1:23" x14ac:dyDescent="0.3">
      <c r="B18" s="4">
        <v>10</v>
      </c>
      <c r="C18" s="4" t="s">
        <v>23</v>
      </c>
      <c r="D18" s="21">
        <f>C46</f>
        <v>468112.94542973413</v>
      </c>
      <c r="E18" s="4"/>
      <c r="H18" s="28"/>
      <c r="I18" s="28"/>
      <c r="J18" s="28"/>
      <c r="K18" s="28"/>
      <c r="L18" s="28"/>
      <c r="O18" s="29"/>
      <c r="P18" s="29"/>
      <c r="Q18" s="29"/>
      <c r="R18" s="29"/>
      <c r="S18" s="29"/>
      <c r="T18" s="29"/>
      <c r="U18" s="29"/>
      <c r="V18" s="29"/>
      <c r="W18" s="29"/>
    </row>
    <row r="19" spans="1:23" x14ac:dyDescent="0.3">
      <c r="H19" s="28"/>
      <c r="I19" s="28"/>
      <c r="J19" s="28"/>
      <c r="K19" s="28"/>
      <c r="L19" s="28"/>
      <c r="O19" s="29"/>
      <c r="P19" s="29"/>
      <c r="Q19" s="29"/>
      <c r="R19" s="29"/>
      <c r="S19" s="29"/>
      <c r="T19" s="29"/>
      <c r="U19" s="29"/>
      <c r="V19" s="29"/>
      <c r="W19" s="29"/>
    </row>
    <row r="20" spans="1:23" x14ac:dyDescent="0.3">
      <c r="H20" s="28"/>
      <c r="I20" s="28"/>
      <c r="J20" s="28"/>
      <c r="K20" s="28"/>
      <c r="L20" s="28"/>
      <c r="O20" s="29"/>
      <c r="P20" s="29"/>
      <c r="Q20" s="29"/>
      <c r="R20" s="29"/>
      <c r="S20" s="29"/>
      <c r="T20" s="29"/>
      <c r="U20" s="29"/>
      <c r="V20" s="29"/>
      <c r="W20" s="29"/>
    </row>
    <row r="21" spans="1:23" x14ac:dyDescent="0.3">
      <c r="A21" s="3">
        <v>1</v>
      </c>
      <c r="B21" s="29" t="s">
        <v>28</v>
      </c>
      <c r="C21" s="29"/>
      <c r="D21" s="9"/>
      <c r="E21" s="9"/>
      <c r="O21" s="29"/>
      <c r="P21" s="29"/>
      <c r="Q21" s="29"/>
      <c r="R21" s="29"/>
      <c r="S21" s="29"/>
      <c r="T21" s="29"/>
      <c r="U21" s="29"/>
      <c r="V21" s="29"/>
      <c r="W21" s="29"/>
    </row>
    <row r="22" spans="1:23" x14ac:dyDescent="0.3">
      <c r="B22" s="11" t="s">
        <v>26</v>
      </c>
      <c r="C22" s="14">
        <f>(D9*4)/(D11*PI())</f>
        <v>4.825577874546267E-2</v>
      </c>
      <c r="D22" s="9"/>
      <c r="E22" s="9"/>
      <c r="O22" s="29"/>
      <c r="P22" s="29"/>
      <c r="Q22" s="29"/>
      <c r="R22" s="29"/>
      <c r="S22" s="29"/>
      <c r="T22" s="29"/>
      <c r="U22" s="29"/>
      <c r="V22" s="29"/>
      <c r="W22" s="29"/>
    </row>
    <row r="23" spans="1:23" x14ac:dyDescent="0.3">
      <c r="B23" s="12" t="s">
        <v>25</v>
      </c>
      <c r="C23" s="15">
        <f>SQRT(C22)</f>
        <v>0.21967197988242076</v>
      </c>
      <c r="D23" s="9" t="s">
        <v>7</v>
      </c>
      <c r="E23" s="9"/>
      <c r="O23" s="29"/>
      <c r="P23" s="29"/>
      <c r="Q23" s="29"/>
      <c r="R23" s="29"/>
      <c r="S23" s="29"/>
      <c r="T23" s="29"/>
      <c r="U23" s="29"/>
      <c r="V23" s="29"/>
      <c r="W23" s="29"/>
    </row>
    <row r="24" spans="1:23" x14ac:dyDescent="0.3">
      <c r="D24" s="9"/>
      <c r="E24" s="9"/>
      <c r="O24" s="32" t="s">
        <v>20</v>
      </c>
      <c r="P24" s="32"/>
      <c r="Q24" s="32"/>
      <c r="R24" s="32"/>
      <c r="S24" s="32"/>
      <c r="T24" s="32"/>
      <c r="U24" s="32"/>
      <c r="V24" s="32"/>
      <c r="W24" s="32"/>
    </row>
    <row r="25" spans="1:23" x14ac:dyDescent="0.3">
      <c r="B25" s="29" t="s">
        <v>27</v>
      </c>
      <c r="C25" s="29"/>
      <c r="D25" s="9"/>
      <c r="E25" s="9"/>
      <c r="O25" s="32"/>
      <c r="P25" s="32"/>
      <c r="Q25" s="32"/>
      <c r="R25" s="32"/>
      <c r="S25" s="32"/>
      <c r="T25" s="32"/>
      <c r="U25" s="32"/>
      <c r="V25" s="32"/>
      <c r="W25" s="32"/>
    </row>
    <row r="26" spans="1:23" x14ac:dyDescent="0.3">
      <c r="C26" s="9"/>
      <c r="D26" s="9"/>
      <c r="E26" s="9"/>
      <c r="O26" s="32"/>
      <c r="P26" s="32"/>
      <c r="Q26" s="32"/>
      <c r="R26" s="32"/>
      <c r="S26" s="32"/>
      <c r="T26" s="32"/>
      <c r="U26" s="32"/>
      <c r="V26" s="32"/>
      <c r="W26" s="32"/>
    </row>
    <row r="27" spans="1:23" ht="14.4" customHeight="1" x14ac:dyDescent="0.3">
      <c r="B27" s="28" t="s">
        <v>43</v>
      </c>
      <c r="C27" s="28"/>
      <c r="D27" s="1"/>
      <c r="E27" s="25" t="s">
        <v>34</v>
      </c>
      <c r="F27" s="26"/>
      <c r="G27" s="26"/>
      <c r="H27" s="26"/>
      <c r="I27" s="26"/>
      <c r="J27" s="26"/>
      <c r="K27" s="26"/>
      <c r="L27" s="26"/>
      <c r="M27" s="26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B28" s="28"/>
      <c r="C28" s="28"/>
      <c r="D28" s="1"/>
      <c r="E28" s="26"/>
      <c r="F28" s="26"/>
      <c r="G28" s="26"/>
      <c r="H28" s="26"/>
      <c r="I28" s="26"/>
      <c r="J28" s="26"/>
      <c r="K28" s="26"/>
      <c r="L28" s="26"/>
      <c r="M28" s="26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B29" s="28"/>
      <c r="C29" s="28"/>
      <c r="D29" s="1"/>
      <c r="E29" s="26"/>
      <c r="F29" s="26"/>
      <c r="G29" s="26"/>
      <c r="H29" s="26"/>
      <c r="I29" s="26"/>
      <c r="J29" s="26"/>
      <c r="K29" s="26"/>
      <c r="L29" s="26"/>
      <c r="M29" s="26"/>
    </row>
    <row r="30" spans="1:23" x14ac:dyDescent="0.3">
      <c r="B30" s="28"/>
      <c r="C30" s="28"/>
      <c r="D30" s="1"/>
      <c r="E30" s="26"/>
      <c r="F30" s="26"/>
      <c r="G30" s="26"/>
      <c r="H30" s="26"/>
      <c r="I30" s="26"/>
      <c r="J30" s="26"/>
      <c r="K30" s="26"/>
      <c r="L30" s="26"/>
      <c r="M30" s="26"/>
    </row>
    <row r="31" spans="1:23" x14ac:dyDescent="0.3">
      <c r="B31" s="28"/>
      <c r="C31" s="28"/>
      <c r="E31" s="26"/>
      <c r="F31" s="26"/>
      <c r="G31" s="26"/>
      <c r="H31" s="26"/>
      <c r="I31" s="26"/>
      <c r="J31" s="26"/>
      <c r="K31" s="26"/>
      <c r="L31" s="26"/>
      <c r="M31" s="26"/>
    </row>
    <row r="32" spans="1:23" x14ac:dyDescent="0.3">
      <c r="B32" s="9"/>
      <c r="C32" s="9"/>
      <c r="E32" s="26"/>
      <c r="F32" s="26"/>
      <c r="G32" s="26"/>
      <c r="H32" s="26"/>
      <c r="I32" s="26"/>
      <c r="J32" s="26"/>
      <c r="K32" s="26"/>
      <c r="L32" s="26"/>
      <c r="M32" s="26"/>
      <c r="O32" s="2">
        <v>1</v>
      </c>
      <c r="P32" s="2" t="s">
        <v>37</v>
      </c>
    </row>
    <row r="33" spans="1:17" x14ac:dyDescent="0.3">
      <c r="A33" s="3">
        <v>2</v>
      </c>
      <c r="B33" s="29" t="s">
        <v>30</v>
      </c>
      <c r="C33" s="29"/>
      <c r="E33" s="26"/>
      <c r="F33" s="26"/>
      <c r="G33" s="26"/>
      <c r="H33" s="26"/>
      <c r="I33" s="26"/>
      <c r="J33" s="26"/>
      <c r="K33" s="26"/>
      <c r="L33" s="26"/>
      <c r="M33" s="26"/>
      <c r="P33" s="18"/>
      <c r="Q33" s="18"/>
    </row>
    <row r="34" spans="1:17" x14ac:dyDescent="0.3">
      <c r="E34" s="26"/>
      <c r="F34" s="26"/>
      <c r="G34" s="26"/>
      <c r="H34" s="26"/>
      <c r="I34" s="26"/>
      <c r="J34" s="26"/>
      <c r="K34" s="26"/>
      <c r="L34" s="26"/>
      <c r="M34" s="26"/>
      <c r="O34" s="2">
        <v>2</v>
      </c>
      <c r="P34" s="2" t="s">
        <v>39</v>
      </c>
    </row>
    <row r="35" spans="1:17" x14ac:dyDescent="0.3">
      <c r="B35" s="2" t="s">
        <v>31</v>
      </c>
      <c r="C35" s="16">
        <v>6.8</v>
      </c>
      <c r="D35" s="2" t="s">
        <v>32</v>
      </c>
      <c r="E35" s="26"/>
      <c r="F35" s="26"/>
      <c r="G35" s="26"/>
      <c r="H35" s="26"/>
      <c r="I35" s="26"/>
      <c r="J35" s="26"/>
      <c r="K35" s="26"/>
      <c r="L35" s="26"/>
      <c r="M35" s="26"/>
    </row>
    <row r="36" spans="1:17" x14ac:dyDescent="0.3">
      <c r="B36" s="2" t="s">
        <v>47</v>
      </c>
      <c r="C36" s="16">
        <f>1.6</f>
        <v>1.6</v>
      </c>
      <c r="D36" s="2" t="s">
        <v>32</v>
      </c>
      <c r="E36" s="26"/>
      <c r="F36" s="26"/>
      <c r="G36" s="26"/>
      <c r="H36" s="26"/>
      <c r="I36" s="26"/>
      <c r="J36" s="26"/>
      <c r="K36" s="26"/>
      <c r="L36" s="26"/>
      <c r="M36" s="26"/>
    </row>
    <row r="37" spans="1:17" x14ac:dyDescent="0.3">
      <c r="B37" s="2" t="s">
        <v>33</v>
      </c>
      <c r="C37" s="16">
        <v>274</v>
      </c>
      <c r="D37" s="2" t="s">
        <v>32</v>
      </c>
      <c r="E37" s="26"/>
      <c r="F37" s="26"/>
      <c r="G37" s="26"/>
      <c r="H37" s="26"/>
      <c r="I37" s="26"/>
      <c r="J37" s="26"/>
      <c r="K37" s="26"/>
      <c r="L37" s="26"/>
      <c r="M37" s="26"/>
    </row>
    <row r="38" spans="1:17" x14ac:dyDescent="0.3">
      <c r="E38" s="26"/>
      <c r="F38" s="26"/>
      <c r="G38" s="26"/>
      <c r="H38" s="26"/>
      <c r="I38" s="26"/>
      <c r="J38" s="26"/>
      <c r="K38" s="26"/>
      <c r="L38" s="26"/>
      <c r="M38" s="26"/>
    </row>
    <row r="39" spans="1:17" x14ac:dyDescent="0.3">
      <c r="B39" s="4" t="s">
        <v>29</v>
      </c>
      <c r="C39" s="4">
        <f>C37-2*(C35)-2*(C36)</f>
        <v>257.2</v>
      </c>
      <c r="D39" s="2" t="s">
        <v>32</v>
      </c>
      <c r="E39" s="27" t="s">
        <v>36</v>
      </c>
      <c r="F39" s="27"/>
      <c r="G39" s="27"/>
      <c r="H39" s="27"/>
      <c r="I39" s="27"/>
      <c r="J39" s="27"/>
      <c r="K39" s="27"/>
      <c r="L39" s="27"/>
      <c r="M39" s="27"/>
    </row>
    <row r="40" spans="1:17" x14ac:dyDescent="0.3">
      <c r="B40" s="4" t="s">
        <v>29</v>
      </c>
      <c r="C40" s="10">
        <f>C39/1000</f>
        <v>0.25719999999999998</v>
      </c>
      <c r="D40" s="2" t="s">
        <v>7</v>
      </c>
      <c r="E40" s="27"/>
      <c r="F40" s="27"/>
      <c r="G40" s="27"/>
      <c r="H40" s="27"/>
      <c r="I40" s="27"/>
      <c r="J40" s="27"/>
      <c r="K40" s="27"/>
      <c r="L40" s="27"/>
      <c r="M40" s="27"/>
    </row>
    <row r="41" spans="1:17" x14ac:dyDescent="0.3">
      <c r="B41" s="2" t="s">
        <v>50</v>
      </c>
      <c r="C41" s="2">
        <f>(PI()*(C40)^2)/4</f>
        <v>5.1955533641361844E-2</v>
      </c>
      <c r="D41" s="26" t="s">
        <v>51</v>
      </c>
      <c r="E41" s="26"/>
      <c r="F41" s="26"/>
      <c r="G41" s="26"/>
      <c r="H41" s="26"/>
    </row>
    <row r="42" spans="1:17" x14ac:dyDescent="0.3">
      <c r="B42" s="2" t="s">
        <v>48</v>
      </c>
      <c r="C42" s="2">
        <f>D9/C41</f>
        <v>1.8236748496135058</v>
      </c>
    </row>
    <row r="44" spans="1:17" x14ac:dyDescent="0.3">
      <c r="A44" s="17">
        <v>3</v>
      </c>
      <c r="B44" s="25" t="s">
        <v>35</v>
      </c>
      <c r="C44" s="25"/>
      <c r="E44" s="1">
        <v>4</v>
      </c>
      <c r="F44" s="25" t="s">
        <v>44</v>
      </c>
      <c r="G44" s="25"/>
      <c r="H44" s="25"/>
      <c r="I44" s="25"/>
      <c r="J44" s="25"/>
      <c r="K44" s="25"/>
      <c r="L44" s="25"/>
      <c r="M44" s="25"/>
    </row>
    <row r="45" spans="1:17" x14ac:dyDescent="0.3">
      <c r="E45" s="1"/>
      <c r="F45" s="1"/>
      <c r="G45" s="1"/>
      <c r="H45" s="1"/>
      <c r="I45" s="1"/>
      <c r="J45" s="1"/>
      <c r="K45" s="1"/>
      <c r="L45" s="1"/>
      <c r="M45" s="1"/>
    </row>
    <row r="46" spans="1:17" x14ac:dyDescent="0.3">
      <c r="B46" s="2" t="s">
        <v>22</v>
      </c>
      <c r="C46" s="19">
        <f>D16*D12*D13/D15</f>
        <v>468112.94542973413</v>
      </c>
      <c r="E46" s="1"/>
      <c r="F46" s="1" t="s">
        <v>18</v>
      </c>
      <c r="G46" s="1">
        <f>D17*(D10/D13)*(D16*(D12)^2/2)</f>
        <v>185419.24799598398</v>
      </c>
      <c r="H46" s="1" t="s">
        <v>45</v>
      </c>
      <c r="I46" s="1"/>
      <c r="J46" s="1"/>
      <c r="K46" s="1"/>
      <c r="L46" s="1"/>
      <c r="M46" s="1"/>
    </row>
    <row r="47" spans="1:17" x14ac:dyDescent="0.3">
      <c r="F47" s="2" t="s">
        <v>18</v>
      </c>
      <c r="G47" s="23">
        <f>G46*10^-5</f>
        <v>1.8541924799598399</v>
      </c>
      <c r="H47" s="2" t="s">
        <v>46</v>
      </c>
    </row>
    <row r="48" spans="1:17" x14ac:dyDescent="0.3">
      <c r="B48" s="25" t="s">
        <v>40</v>
      </c>
      <c r="C48" s="25"/>
    </row>
    <row r="50" spans="2:5" x14ac:dyDescent="0.3">
      <c r="B50" s="24"/>
      <c r="C50" s="24"/>
    </row>
    <row r="51" spans="2:5" x14ac:dyDescent="0.3">
      <c r="B51" s="24"/>
      <c r="C51" s="24"/>
    </row>
    <row r="52" spans="2:5" x14ac:dyDescent="0.3">
      <c r="B52" s="24"/>
      <c r="C52" s="24"/>
    </row>
    <row r="53" spans="2:5" x14ac:dyDescent="0.3">
      <c r="B53" s="24"/>
      <c r="C53" s="24"/>
    </row>
    <row r="55" spans="2:5" x14ac:dyDescent="0.3">
      <c r="C55" s="8">
        <f>(D14/(3.7*D13))+(5.74/(D18^0.9))</f>
        <v>1.0934754862301522E-4</v>
      </c>
    </row>
    <row r="57" spans="2:5" x14ac:dyDescent="0.3">
      <c r="B57" s="24" t="s">
        <v>41</v>
      </c>
      <c r="C57" s="24"/>
    </row>
    <row r="59" spans="2:5" x14ac:dyDescent="0.3">
      <c r="B59" s="2" t="s">
        <v>42</v>
      </c>
      <c r="C59" s="2">
        <f>LOG10(C55)</f>
        <v>-3.9611909486247976</v>
      </c>
    </row>
    <row r="60" spans="2:5" x14ac:dyDescent="0.3">
      <c r="C60" s="2">
        <f>(C59)^2</f>
        <v>15.691033731467023</v>
      </c>
      <c r="E60" s="20"/>
    </row>
    <row r="62" spans="2:5" x14ac:dyDescent="0.3">
      <c r="B62" s="2" t="s">
        <v>24</v>
      </c>
      <c r="C62" s="8">
        <f>0.25/C60</f>
        <v>1.5932666023057897E-2</v>
      </c>
    </row>
  </sheetData>
  <mergeCells count="17">
    <mergeCell ref="A1:W5"/>
    <mergeCell ref="B21:C21"/>
    <mergeCell ref="B25:C25"/>
    <mergeCell ref="H8:L11"/>
    <mergeCell ref="H14:L20"/>
    <mergeCell ref="O8:W23"/>
    <mergeCell ref="O24:W26"/>
    <mergeCell ref="B57:C57"/>
    <mergeCell ref="F44:M44"/>
    <mergeCell ref="B44:C44"/>
    <mergeCell ref="E27:M38"/>
    <mergeCell ref="E39:M40"/>
    <mergeCell ref="B48:C48"/>
    <mergeCell ref="B50:C53"/>
    <mergeCell ref="B27:C31"/>
    <mergeCell ref="B33:C33"/>
    <mergeCell ref="D41:H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2026-03-02T08:51:18Z</dcterms:created>
  <dcterms:modified xsi:type="dcterms:W3CDTF">2026-05-06T06:13:01Z</dcterms:modified>
</cp:coreProperties>
</file>