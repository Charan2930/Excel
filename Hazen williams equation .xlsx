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orateroot-my.sharepoint.com/personal/charan_kumar_haskoning_com/Documents/Calculations/"/>
    </mc:Choice>
  </mc:AlternateContent>
  <xr:revisionPtr revIDLastSave="288" documentId="8_{72A4A00F-E012-4960-91F3-6DB445F55B22}" xr6:coauthVersionLast="47" xr6:coauthVersionMax="47" xr10:uidLastSave="{1E7C8C44-C3C3-4CC4-B765-5D7520B74778}"/>
  <bookViews>
    <workbookView xWindow="28680" yWindow="-120" windowWidth="29040" windowHeight="15720" xr2:uid="{6EAF27AB-B3E1-4B7D-B1D3-38F1D6C12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M6" i="1"/>
  <c r="K6" i="1" l="1"/>
  <c r="L6" i="1" s="1"/>
  <c r="L7" i="1" l="1"/>
  <c r="E6" i="1"/>
  <c r="F6" i="1" s="1"/>
</calcChain>
</file>

<file path=xl/sharedStrings.xml><?xml version="1.0" encoding="utf-8"?>
<sst xmlns="http://schemas.openxmlformats.org/spreadsheetml/2006/main" count="14" uniqueCount="14">
  <si>
    <t>Internal Dia.of 
pipe in mm (d)</t>
  </si>
  <si>
    <t>flow rate
 through pipe in LPM (Q)</t>
  </si>
  <si>
    <t>Loss of pressure
(P) in bars</t>
  </si>
  <si>
    <t>longest length of
pipe (L) in m</t>
  </si>
  <si>
    <t>Adding 20% loss of fittings</t>
  </si>
  <si>
    <t>total friction loss</t>
  </si>
  <si>
    <t>Q in m3/sec</t>
  </si>
  <si>
    <t>D in mm</t>
  </si>
  <si>
    <t>From Continuity equation</t>
  </si>
  <si>
    <t xml:space="preserve">Hazen williams equation </t>
  </si>
  <si>
    <t>Velocity (V) m/sec</t>
  </si>
  <si>
    <t>Area (A)in m2</t>
  </si>
  <si>
    <t>friction loss of 
coefficient (C)</t>
  </si>
  <si>
    <t>total head required at pump house 
(min pressure to be maintained 6.9 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</si>
</sst>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E+00"/>
    <numFmt numFmtId="165" formatCode="0.0"/>
    <numFmt numFmtId="166" formatCode="0.00000"/>
    <numFmt numFmtId="167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2" fontId="0" fillId="0" borderId="1" xfId="0" applyNumberFormat="1" applyBorder="1"/>
    <xf numFmtId="165" fontId="0" fillId="0" borderId="1" xfId="0" applyNumberFormat="1" applyBorder="1"/>
    <xf numFmtId="0" fontId="1" fillId="0" borderId="0" xfId="0" applyFont="1" applyAlignment="1">
      <alignment vertical="center"/>
    </xf>
    <xf numFmtId="166" fontId="0" fillId="0" borderId="1" xfId="0" applyNumberFormat="1" applyBorder="1"/>
    <xf numFmtId="165" fontId="0" fillId="3" borderId="0" xfId="0" applyNumberForma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11</xdr:row>
      <xdr:rowOff>45720</xdr:rowOff>
    </xdr:from>
    <xdr:to>
      <xdr:col>6</xdr:col>
      <xdr:colOff>137077</xdr:colOff>
      <xdr:row>17</xdr:row>
      <xdr:rowOff>97955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2839F2-4DBA-F9DE-649B-A9B9F726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2613660"/>
          <a:ext cx="3596640" cy="114951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19</xdr:row>
      <xdr:rowOff>83821</xdr:rowOff>
    </xdr:from>
    <xdr:to>
      <xdr:col>6</xdr:col>
      <xdr:colOff>701868</xdr:colOff>
      <xdr:row>24</xdr:row>
      <xdr:rowOff>134315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61B927-AA92-B26B-BEE2-27B456791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0" y="4114801"/>
          <a:ext cx="4099560" cy="949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E811-A245-480B-BD67-9671DAB8A012}">
  <dimension ref="C2:P14"/>
  <sheetViews>
    <sheetView tabSelected="1" zoomScaleNormal="100" workbookViewId="0">
      <selection activeCell="M14" sqref="M14"/>
    </sheetView>
  </sheetViews>
  <sheetFormatPr defaultRowHeight="14.4" x14ac:dyDescent="0.3"/>
  <cols>
    <col min="3" max="3" width="15.6640625" customWidth="1"/>
    <col min="4" max="4" width="14.109375" customWidth="1"/>
    <col min="5" max="5" width="10.88671875" bestFit="1" customWidth="1"/>
    <col min="7" max="7" width="11.21875" customWidth="1"/>
    <col min="9" max="9" width="9.21875" customWidth="1"/>
    <col min="10" max="10" width="15.6640625" customWidth="1"/>
    <col min="11" max="11" width="15.5546875" customWidth="1"/>
    <col min="12" max="12" width="15.6640625" bestFit="1" customWidth="1"/>
    <col min="13" max="13" width="12" bestFit="1" customWidth="1"/>
    <col min="15" max="15" width="23.88671875" customWidth="1"/>
  </cols>
  <sheetData>
    <row r="2" spans="3:16" x14ac:dyDescent="0.3">
      <c r="C2" s="12" t="s">
        <v>8</v>
      </c>
      <c r="D2" s="12"/>
      <c r="E2" s="12"/>
      <c r="F2" s="12"/>
      <c r="H2" s="12" t="s">
        <v>9</v>
      </c>
      <c r="I2" s="12"/>
      <c r="J2" s="12"/>
      <c r="K2" s="12"/>
      <c r="L2" s="12"/>
      <c r="M2" s="12"/>
      <c r="N2" s="12"/>
      <c r="O2" s="12"/>
      <c r="P2" s="3"/>
    </row>
    <row r="3" spans="3:16" x14ac:dyDescent="0.3">
      <c r="C3" s="12"/>
      <c r="D3" s="12"/>
      <c r="E3" s="12"/>
      <c r="F3" s="12"/>
      <c r="H3" s="12"/>
      <c r="I3" s="12"/>
      <c r="J3" s="12"/>
      <c r="K3" s="12"/>
      <c r="L3" s="12"/>
      <c r="M3" s="12"/>
      <c r="N3" s="12"/>
      <c r="O3" s="12"/>
      <c r="P3" s="3"/>
    </row>
    <row r="5" spans="3:16" ht="58.2" customHeight="1" x14ac:dyDescent="0.3">
      <c r="C5" s="2" t="s">
        <v>6</v>
      </c>
      <c r="D5" s="2" t="s">
        <v>10</v>
      </c>
      <c r="E5" s="2" t="s">
        <v>11</v>
      </c>
      <c r="F5" s="2" t="s">
        <v>7</v>
      </c>
      <c r="H5" s="2" t="s">
        <v>0</v>
      </c>
      <c r="I5" s="2" t="s">
        <v>12</v>
      </c>
      <c r="J5" s="2" t="s">
        <v>3</v>
      </c>
      <c r="K5" s="2" t="s">
        <v>1</v>
      </c>
      <c r="L5" s="2" t="s">
        <v>2</v>
      </c>
      <c r="M5" s="2" t="s">
        <v>4</v>
      </c>
      <c r="N5" s="2" t="s">
        <v>5</v>
      </c>
      <c r="O5" s="2" t="s">
        <v>13</v>
      </c>
    </row>
    <row r="6" spans="3:16" x14ac:dyDescent="0.3">
      <c r="C6" s="7">
        <v>1.9E-3</v>
      </c>
      <c r="D6" s="4">
        <v>2</v>
      </c>
      <c r="E6" s="11">
        <f>C6/D6</f>
        <v>9.5E-4</v>
      </c>
      <c r="F6" s="4">
        <f>(SQRT(E6/PI())*2)*1000</f>
        <v>34.778981691510246</v>
      </c>
      <c r="H6" s="4">
        <v>43.8</v>
      </c>
      <c r="I6" s="1">
        <v>150</v>
      </c>
      <c r="J6" s="1">
        <v>10</v>
      </c>
      <c r="K6" s="1">
        <f>C6*60000</f>
        <v>114</v>
      </c>
      <c r="L6" s="4">
        <f>6.05*10^5*(K6^1.85)/((I6^1.85)*(H6^4.87))*J6</f>
        <v>3.6921692604962038E-2</v>
      </c>
      <c r="M6" s="4">
        <f>L6*1.2</f>
        <v>4.4306031125954444E-2</v>
      </c>
      <c r="N6" s="4">
        <v>0</v>
      </c>
      <c r="O6" s="4">
        <v>0</v>
      </c>
    </row>
    <row r="7" spans="3:16" x14ac:dyDescent="0.3">
      <c r="C7">
        <v>0</v>
      </c>
      <c r="H7" s="1">
        <v>0</v>
      </c>
      <c r="I7" s="1">
        <v>0</v>
      </c>
      <c r="J7" s="1">
        <v>0</v>
      </c>
      <c r="K7" s="1">
        <v>0</v>
      </c>
      <c r="L7" s="5" t="e">
        <f>6.05*10^5*(K7^1.85)/((I7^1.85)*(H7^4.87))*J7</f>
        <v>#DIV/0!</v>
      </c>
    </row>
    <row r="8" spans="3:16" x14ac:dyDescent="0.3">
      <c r="H8" s="6"/>
      <c r="I8" s="6"/>
      <c r="J8" s="6"/>
      <c r="K8" s="6"/>
      <c r="L8" s="6"/>
    </row>
    <row r="9" spans="3:16" x14ac:dyDescent="0.3">
      <c r="C9" s="3"/>
      <c r="D9" s="3"/>
      <c r="E9" s="3"/>
      <c r="F9" s="3"/>
    </row>
    <row r="10" spans="3:16" x14ac:dyDescent="0.3">
      <c r="C10" s="3"/>
      <c r="D10" s="3"/>
      <c r="E10" s="3"/>
      <c r="F10" s="3"/>
      <c r="K10" s="9"/>
      <c r="L10" s="8"/>
    </row>
    <row r="11" spans="3:16" x14ac:dyDescent="0.3">
      <c r="L11" s="10"/>
    </row>
    <row r="13" spans="3:16" x14ac:dyDescent="0.3">
      <c r="M13">
        <v>0.06</v>
      </c>
    </row>
    <row r="14" spans="3:16" x14ac:dyDescent="0.3">
      <c r="M14">
        <f>M13*1.2</f>
        <v>7.1999999999999995E-2</v>
      </c>
    </row>
  </sheetData>
  <mergeCells count="2">
    <mergeCell ref="C2:F3"/>
    <mergeCell ref="H2:O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2026-02-10T09:24:59Z</dcterms:created>
  <dcterms:modified xsi:type="dcterms:W3CDTF">2026-05-25T10:24:05Z</dcterms:modified>
</cp:coreProperties>
</file>