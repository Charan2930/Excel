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orporateroot-my.sharepoint.com/personal/charan_kumar_haskoning_com/Documents/Calculations/"/>
    </mc:Choice>
  </mc:AlternateContent>
  <xr:revisionPtr revIDLastSave="223" documentId="8_{FA417401-3E38-4D5F-AB75-516AF6DDE329}" xr6:coauthVersionLast="47" xr6:coauthVersionMax="47" xr10:uidLastSave="{FEF01116-ECD2-4872-9F84-35746A9A24E2}"/>
  <bookViews>
    <workbookView xWindow="28680" yWindow="-120" windowWidth="29040" windowHeight="15720" xr2:uid="{00000000-000D-0000-FFFF-FFFF00000000}"/>
  </bookViews>
  <sheets>
    <sheet name="Summary" sheetId="2" r:id="rId1"/>
    <sheet name="HDPE size chart (2)" sheetId="3" r:id="rId2"/>
    <sheet name="HDPE size char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4" i="2"/>
  <c r="E13" i="2"/>
  <c r="E17" i="2"/>
  <c r="E16" i="2"/>
  <c r="E24" i="2"/>
  <c r="E22" i="2"/>
  <c r="E20" i="2"/>
  <c r="E19" i="2"/>
  <c r="D24" i="2"/>
  <c r="D22" i="2"/>
  <c r="D20" i="2"/>
  <c r="D19" i="2"/>
  <c r="F41" i="1"/>
</calcChain>
</file>

<file path=xl/sharedStrings.xml><?xml version="1.0" encoding="utf-8"?>
<sst xmlns="http://schemas.openxmlformats.org/spreadsheetml/2006/main" count="194" uniqueCount="47">
  <si>
    <t>Norm size (mm)</t>
  </si>
  <si>
    <t>SDR</t>
  </si>
  <si>
    <t>Mean Outside 
Diameter (min)</t>
  </si>
  <si>
    <t>Ovality Outside 
Dameter
(min)</t>
  </si>
  <si>
    <t>Mean Outside 
Diameter (max)</t>
  </si>
  <si>
    <t>Ovality Outside 
Dameter
(max)</t>
  </si>
  <si>
    <t>Wall Thickness
(min)</t>
  </si>
  <si>
    <t>Wall Thickness
(max)</t>
  </si>
  <si>
    <t>Pipe ID</t>
  </si>
  <si>
    <t>Pipe mass (kg/m)</t>
  </si>
  <si>
    <t>See Note</t>
  </si>
  <si>
    <t xml:space="preserve"> </t>
  </si>
  <si>
    <t>HDPE Pipe Size Chart</t>
  </si>
  <si>
    <t>mm</t>
  </si>
  <si>
    <t>mm (min)</t>
  </si>
  <si>
    <t>mm (max)</t>
  </si>
  <si>
    <t>kg/m</t>
  </si>
  <si>
    <t>Mean Outside Diameter (min)</t>
  </si>
  <si>
    <t>Mean Outside Diameter (max)</t>
  </si>
  <si>
    <t>Norm size</t>
  </si>
  <si>
    <t>Wall Thickness (min)</t>
  </si>
  <si>
    <t>Wall Thickness (max)</t>
  </si>
  <si>
    <t>Pipe Internal Diameter (ID)</t>
  </si>
  <si>
    <t>Ovality Outside
Dameter (max)</t>
  </si>
  <si>
    <t>Ovality Outside 
Dameter (min)</t>
  </si>
  <si>
    <t>SDR 41</t>
  </si>
  <si>
    <t>SDR 33</t>
  </si>
  <si>
    <t>SDR 26</t>
  </si>
  <si>
    <t>SDR 21</t>
  </si>
  <si>
    <t>SDR 17</t>
  </si>
  <si>
    <t>SDR 13.6</t>
  </si>
  <si>
    <t>SDR 11</t>
  </si>
  <si>
    <t>SDR 9</t>
  </si>
  <si>
    <t>SDR 7.4</t>
  </si>
  <si>
    <t>PE 100</t>
  </si>
  <si>
    <t>PN 4</t>
  </si>
  <si>
    <t>PN 5</t>
  </si>
  <si>
    <t>PN 6.3</t>
  </si>
  <si>
    <t>PN 8</t>
  </si>
  <si>
    <t>PN 10</t>
  </si>
  <si>
    <t>PN 12.5</t>
  </si>
  <si>
    <t>PN 16</t>
  </si>
  <si>
    <t>PN 20</t>
  </si>
  <si>
    <t>PN 25</t>
  </si>
  <si>
    <t>Nominal working pressure</t>
  </si>
  <si>
    <t xml:space="preserve">HDPE PIPE </t>
  </si>
  <si>
    <t xml:space="preserve">PARAMETERS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</si>
</sst>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0" fillId="7" borderId="11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362857</xdr:colOff>
      <xdr:row>0</xdr:row>
      <xdr:rowOff>99785</xdr:rowOff>
    </xdr:from>
    <xdr:to>
      <xdr:col>9</xdr:col>
      <xdr:colOff>773959</xdr:colOff>
      <xdr:row>3</xdr:row>
      <xdr:rowOff>58514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5F0CD2-052E-4A93-8937-BA0EACCF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214" y="99785"/>
          <a:ext cx="1399888" cy="503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414547</xdr:colOff>
      <xdr:row>0</xdr:row>
      <xdr:rowOff>72571</xdr:rowOff>
    </xdr:from>
    <xdr:to>
      <xdr:col>13</xdr:col>
      <xdr:colOff>833071</xdr:colOff>
      <xdr:row>3</xdr:row>
      <xdr:rowOff>21404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BAAEB-3B71-3761-FF9F-D28D3F9F5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5047" y="72571"/>
          <a:ext cx="1407310" cy="493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F356-E6BF-4EF8-BA0A-306E80DC7CFC}">
  <dimension ref="B2:K24"/>
  <sheetViews>
    <sheetView tabSelected="1" zoomScaleNormal="100" workbookViewId="0">
      <selection activeCell="G33" sqref="G33"/>
    </sheetView>
  </sheetViews>
  <sheetFormatPr defaultRowHeight="14.4" x14ac:dyDescent="0.3"/>
  <cols>
    <col min="1" max="1" width="28.44140625" style="20" customWidth="1"/>
    <col min="2" max="3" width="8.88671875" style="20"/>
    <col min="4" max="4" width="29.109375" style="20" bestFit="1" customWidth="1"/>
    <col min="5" max="5" width="16" style="20" customWidth="1"/>
    <col min="6" max="6" width="11.33203125" style="20" customWidth="1"/>
    <col min="7" max="16384" width="8.88671875" style="20"/>
  </cols>
  <sheetData>
    <row r="2" spans="2:11" x14ac:dyDescent="0.3">
      <c r="B2" s="26" t="s">
        <v>45</v>
      </c>
      <c r="C2" s="27"/>
      <c r="D2" s="27"/>
      <c r="E2" s="27"/>
      <c r="F2" s="27"/>
      <c r="G2" s="27"/>
      <c r="H2" s="27"/>
    </row>
    <row r="3" spans="2:11" x14ac:dyDescent="0.3">
      <c r="B3" s="26"/>
      <c r="C3" s="27"/>
      <c r="D3" s="27"/>
      <c r="E3" s="27"/>
      <c r="F3" s="27"/>
      <c r="G3" s="27"/>
      <c r="H3" s="27"/>
    </row>
    <row r="4" spans="2:11" x14ac:dyDescent="0.3">
      <c r="B4" s="26"/>
      <c r="C4" s="27"/>
      <c r="D4" s="27"/>
      <c r="E4" s="27"/>
      <c r="F4" s="27"/>
      <c r="G4" s="27"/>
      <c r="H4" s="27"/>
    </row>
    <row r="7" spans="2:11" ht="16.5" customHeight="1" x14ac:dyDescent="0.3">
      <c r="D7" s="23" t="s">
        <v>46</v>
      </c>
    </row>
    <row r="8" spans="2:11" x14ac:dyDescent="0.3">
      <c r="D8" s="20" t="s">
        <v>1</v>
      </c>
      <c r="E8" s="25" t="s">
        <v>31</v>
      </c>
      <c r="K8" s="21"/>
    </row>
    <row r="9" spans="2:11" x14ac:dyDescent="0.3">
      <c r="D9" s="20" t="s">
        <v>19</v>
      </c>
      <c r="E9" s="25">
        <v>110</v>
      </c>
      <c r="F9" s="20" t="s">
        <v>13</v>
      </c>
      <c r="K9" s="21"/>
    </row>
    <row r="10" spans="2:11" x14ac:dyDescent="0.3">
      <c r="K10" s="21"/>
    </row>
    <row r="11" spans="2:11" x14ac:dyDescent="0.3">
      <c r="D11" s="20" t="s">
        <v>44</v>
      </c>
      <c r="E11" s="20" t="str">
        <f>VLOOKUP(Summary!E8,'HDPE size chart (2)'!A174:B183,2,FALSE)</f>
        <v>PN 16</v>
      </c>
    </row>
    <row r="13" spans="2:11" x14ac:dyDescent="0.3">
      <c r="D13" s="20" t="s">
        <v>17</v>
      </c>
      <c r="E13" s="22">
        <f>INDEX('HDPE size chart (2)'!A141:E170,MATCH(E9,'HDPE size chart (2)'!A141:A170,0),MATCH(D13,'HDPE size chart (2)'!A141:E141,0))</f>
        <v>110</v>
      </c>
      <c r="F13" s="20" t="s">
        <v>14</v>
      </c>
    </row>
    <row r="14" spans="2:11" x14ac:dyDescent="0.3">
      <c r="D14" s="20" t="s">
        <v>18</v>
      </c>
      <c r="E14" s="22">
        <f>INDEX('HDPE size chart (2)'!A141:E170,MATCH(E9,'HDPE size chart (2)'!A141:A170,0),MATCH(D14,'HDPE size chart (2)'!A141:E141,0))</f>
        <v>110.7</v>
      </c>
      <c r="F14" s="20" t="s">
        <v>15</v>
      </c>
    </row>
    <row r="16" spans="2:11" s="23" customFormat="1" x14ac:dyDescent="0.3">
      <c r="D16" s="20" t="s">
        <v>24</v>
      </c>
      <c r="E16" s="20">
        <f>INDEX('HDPE size chart (2)'!A141:E170,MATCH(E9,'HDPE size chart (2)'!A141:A170,0),MATCH(D16,'HDPE size chart (2)'!A141:E141,0))</f>
        <v>108.8</v>
      </c>
      <c r="F16" s="20" t="s">
        <v>14</v>
      </c>
    </row>
    <row r="17" spans="4:6" x14ac:dyDescent="0.3">
      <c r="D17" s="20" t="s">
        <v>23</v>
      </c>
      <c r="E17" s="20">
        <f>INDEX('HDPE size chart (2)'!A141:E170,MATCH(E9,'HDPE size chart (2)'!A141:A170,0),MATCH(D17,'HDPE size chart (2)'!A141:E141,0))</f>
        <v>111.1</v>
      </c>
      <c r="F17" s="20" t="s">
        <v>15</v>
      </c>
    </row>
    <row r="19" spans="4:6" x14ac:dyDescent="0.3">
      <c r="D19" s="20" t="str">
        <f>'HDPE size chart (2)'!A5</f>
        <v>Wall Thickness (min)</v>
      </c>
      <c r="E19" s="20">
        <f>INDEX('HDPE size chart (2)'!A6:J36,MATCH(E9,'HDPE size chart (2)'!A6:A36,0),MATCH(E8,'HDPE size chart (2)'!A6:J6,0))</f>
        <v>10</v>
      </c>
      <c r="F19" s="20" t="s">
        <v>13</v>
      </c>
    </row>
    <row r="20" spans="4:6" x14ac:dyDescent="0.3">
      <c r="D20" s="20" t="str">
        <f>'HDPE size chart (2)'!A39</f>
        <v>Wall Thickness (max)</v>
      </c>
      <c r="E20" s="20">
        <f>INDEX('HDPE size chart (2)'!A40:J70,MATCH(E9,'HDPE size chart (2)'!A40:A70,0),MATCH(E8,'HDPE size chart (2)'!A40:J40,0))</f>
        <v>10.55</v>
      </c>
      <c r="F20" s="20" t="s">
        <v>13</v>
      </c>
    </row>
    <row r="22" spans="4:6" x14ac:dyDescent="0.3">
      <c r="D22" s="23" t="str">
        <f>'HDPE size chart (2)'!A73</f>
        <v>Pipe Internal Diameter (ID)</v>
      </c>
      <c r="E22" s="24">
        <f>INDEX('HDPE size chart (2)'!A74:J104,MATCH(E9,'HDPE size chart (2)'!A74:A104,0),MATCH(E8,'HDPE size chart (2)'!A74:J74,0))</f>
        <v>89.45</v>
      </c>
      <c r="F22" s="23" t="s">
        <v>13</v>
      </c>
    </row>
    <row r="24" spans="4:6" x14ac:dyDescent="0.3">
      <c r="D24" s="20" t="str">
        <f>'HDPE size chart (2)'!A107</f>
        <v>Pipe mass (kg/m)</v>
      </c>
      <c r="E24" s="20">
        <f>INDEX('HDPE size chart (2)'!A108:J138,MATCH(E9,'HDPE size chart (2)'!A108:A138,0),MATCH(E8,'HDPE size chart (2)'!A108:J108,0))</f>
        <v>3.04</v>
      </c>
      <c r="F24" s="20" t="s">
        <v>16</v>
      </c>
    </row>
  </sheetData>
  <mergeCells count="1">
    <mergeCell ref="B2: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33CC5C0-679B-476B-9D1F-4E6D71A7E378}">
          <x14:formula1>
            <xm:f>'HDPE size chart (2)'!$B$6:$J$6</xm:f>
          </x14:formula1>
          <xm:sqref>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DBA5-CCFC-4966-BA89-8D4865D14284}">
  <dimension ref="A1:J183"/>
  <sheetViews>
    <sheetView zoomScale="85" zoomScaleNormal="85" workbookViewId="0">
      <selection activeCell="Q23" sqref="Q23"/>
    </sheetView>
  </sheetViews>
  <sheetFormatPr defaultColWidth="14.109375" defaultRowHeight="14.4" x14ac:dyDescent="0.3"/>
  <cols>
    <col min="1" max="1" width="10.6640625" style="3" customWidth="1"/>
    <col min="2" max="4" width="14.109375" style="3"/>
    <col min="5" max="5" width="14.109375" style="3" customWidth="1"/>
    <col min="6" max="10" width="14.109375" style="3"/>
    <col min="11" max="16384" width="14.109375" style="1"/>
  </cols>
  <sheetData>
    <row r="1" spans="1:10" ht="14.55" customHeight="1" x14ac:dyDescent="0.3">
      <c r="A1" s="9" t="s">
        <v>12</v>
      </c>
      <c r="B1" s="10"/>
      <c r="C1" s="10"/>
    </row>
    <row r="2" spans="1:10" ht="14.55" customHeight="1" x14ac:dyDescent="0.3">
      <c r="A2" s="9"/>
      <c r="B2" s="10"/>
      <c r="C2" s="10"/>
    </row>
    <row r="3" spans="1:10" ht="14.55" customHeight="1" x14ac:dyDescent="0.3">
      <c r="A3" s="9"/>
      <c r="B3" s="10"/>
      <c r="C3" s="10"/>
    </row>
    <row r="5" spans="1:10" ht="22.5" customHeight="1" x14ac:dyDescent="0.3">
      <c r="A5" s="8" t="s">
        <v>20</v>
      </c>
    </row>
    <row r="6" spans="1:10" s="2" customFormat="1" x14ac:dyDescent="0.3">
      <c r="A6" s="6" t="s">
        <v>1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</row>
    <row r="7" spans="1:10" s="2" customFormat="1" ht="28.8" x14ac:dyDescent="0.3">
      <c r="A7" s="4" t="s">
        <v>0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</row>
    <row r="8" spans="1:10" x14ac:dyDescent="0.3">
      <c r="A8" s="3">
        <v>16</v>
      </c>
      <c r="H8" s="3">
        <v>1.6</v>
      </c>
      <c r="I8" s="3">
        <v>2</v>
      </c>
      <c r="J8" s="3">
        <v>2.2999999999999998</v>
      </c>
    </row>
    <row r="9" spans="1:10" x14ac:dyDescent="0.3">
      <c r="A9" s="3">
        <v>20</v>
      </c>
      <c r="F9" s="3" t="s">
        <v>11</v>
      </c>
      <c r="G9" s="3">
        <v>1.6</v>
      </c>
      <c r="H9" s="3">
        <v>2</v>
      </c>
      <c r="I9" s="3">
        <v>2.2999999999999998</v>
      </c>
      <c r="J9" s="3">
        <v>3</v>
      </c>
    </row>
    <row r="10" spans="1:10" x14ac:dyDescent="0.3">
      <c r="A10" s="3">
        <v>25</v>
      </c>
      <c r="F10" s="3">
        <v>1.6</v>
      </c>
      <c r="G10" s="3">
        <v>2</v>
      </c>
      <c r="H10" s="3">
        <v>2.2999999999999998</v>
      </c>
      <c r="I10" s="3">
        <v>3</v>
      </c>
      <c r="J10" s="3">
        <v>3.5</v>
      </c>
    </row>
    <row r="11" spans="1:10" x14ac:dyDescent="0.3">
      <c r="A11" s="3">
        <v>32</v>
      </c>
      <c r="D11" s="3">
        <v>1.6</v>
      </c>
      <c r="E11" s="3">
        <v>1.7</v>
      </c>
      <c r="F11" s="3">
        <v>2</v>
      </c>
      <c r="G11" s="3">
        <v>2.4</v>
      </c>
      <c r="H11" s="3">
        <v>3</v>
      </c>
      <c r="I11" s="3">
        <v>3.6</v>
      </c>
      <c r="J11" s="3">
        <v>4.4000000000000004</v>
      </c>
    </row>
    <row r="12" spans="1:10" x14ac:dyDescent="0.3">
      <c r="A12" s="3">
        <v>40</v>
      </c>
      <c r="B12" s="3" t="s">
        <v>11</v>
      </c>
      <c r="D12" s="3">
        <v>1.6</v>
      </c>
      <c r="E12" s="3">
        <v>2</v>
      </c>
      <c r="F12" s="3">
        <v>2.4</v>
      </c>
      <c r="G12" s="3">
        <v>3</v>
      </c>
      <c r="H12" s="3">
        <v>3.7</v>
      </c>
      <c r="I12" s="3">
        <v>4.5</v>
      </c>
      <c r="J12" s="3">
        <v>5.5</v>
      </c>
    </row>
    <row r="13" spans="1:10" x14ac:dyDescent="0.3">
      <c r="A13" s="3">
        <v>50</v>
      </c>
      <c r="B13" s="3">
        <v>1.6</v>
      </c>
      <c r="C13" s="3">
        <v>1.6</v>
      </c>
      <c r="D13" s="3">
        <v>2</v>
      </c>
      <c r="E13" s="3">
        <v>2.4</v>
      </c>
      <c r="F13" s="3">
        <v>3</v>
      </c>
      <c r="G13" s="3">
        <v>3.7</v>
      </c>
      <c r="H13" s="3">
        <v>4.5999999999999996</v>
      </c>
      <c r="I13" s="3">
        <v>5.6</v>
      </c>
      <c r="J13" s="3">
        <v>6.9</v>
      </c>
    </row>
    <row r="14" spans="1:10" x14ac:dyDescent="0.3">
      <c r="A14" s="3">
        <v>63</v>
      </c>
      <c r="B14" s="3">
        <v>1.6</v>
      </c>
      <c r="C14" s="3">
        <v>1.9</v>
      </c>
      <c r="D14" s="3">
        <v>2.5</v>
      </c>
      <c r="E14" s="3">
        <v>3</v>
      </c>
      <c r="F14" s="3">
        <v>3.8</v>
      </c>
      <c r="G14" s="3">
        <v>4.7</v>
      </c>
      <c r="H14" s="3">
        <v>5.8</v>
      </c>
      <c r="I14" s="3">
        <v>7.1</v>
      </c>
      <c r="J14" s="3">
        <v>8.6</v>
      </c>
    </row>
    <row r="15" spans="1:10" x14ac:dyDescent="0.3">
      <c r="A15" s="3">
        <v>75</v>
      </c>
      <c r="B15" s="3">
        <v>1.8</v>
      </c>
      <c r="C15" s="3">
        <v>2.2999999999999998</v>
      </c>
      <c r="D15" s="3">
        <v>2.9</v>
      </c>
      <c r="E15" s="3">
        <v>3.6</v>
      </c>
      <c r="F15" s="3">
        <v>4.5</v>
      </c>
      <c r="G15" s="3">
        <v>5.6</v>
      </c>
      <c r="H15" s="3">
        <v>6.8</v>
      </c>
      <c r="I15" s="3">
        <v>8.4</v>
      </c>
      <c r="J15" s="3">
        <v>10.3</v>
      </c>
    </row>
    <row r="16" spans="1:10" x14ac:dyDescent="0.3">
      <c r="A16" s="3">
        <v>90</v>
      </c>
      <c r="B16" s="3">
        <v>2.2000000000000002</v>
      </c>
      <c r="C16" s="3">
        <v>2.7</v>
      </c>
      <c r="D16" s="3">
        <v>3.5</v>
      </c>
      <c r="E16" s="3">
        <v>4.3</v>
      </c>
      <c r="F16" s="3">
        <v>5.4</v>
      </c>
      <c r="G16" s="3">
        <v>6.7</v>
      </c>
      <c r="H16" s="3">
        <v>8.1999999999999993</v>
      </c>
      <c r="I16" s="3">
        <v>10.1</v>
      </c>
      <c r="J16" s="3">
        <v>12.3</v>
      </c>
    </row>
    <row r="17" spans="1:10" x14ac:dyDescent="0.3">
      <c r="A17" s="3">
        <v>110</v>
      </c>
      <c r="B17" s="3">
        <v>2.7</v>
      </c>
      <c r="C17" s="3">
        <v>3.3</v>
      </c>
      <c r="D17" s="3">
        <v>4.2</v>
      </c>
      <c r="E17" s="3">
        <v>5.3</v>
      </c>
      <c r="F17" s="3">
        <v>6.6</v>
      </c>
      <c r="G17" s="3">
        <v>8.1</v>
      </c>
      <c r="H17" s="3">
        <v>10</v>
      </c>
      <c r="I17" s="3">
        <v>12.3</v>
      </c>
      <c r="J17" s="3">
        <v>15.1</v>
      </c>
    </row>
    <row r="18" spans="1:10" x14ac:dyDescent="0.3">
      <c r="A18" s="3">
        <v>125</v>
      </c>
      <c r="B18" s="3">
        <v>3</v>
      </c>
      <c r="C18" s="3">
        <v>3.8</v>
      </c>
      <c r="D18" s="3">
        <v>4.8</v>
      </c>
      <c r="E18" s="3">
        <v>6</v>
      </c>
      <c r="F18" s="3">
        <v>7.4</v>
      </c>
      <c r="G18" s="3">
        <v>9.1999999999999993</v>
      </c>
      <c r="H18" s="3">
        <v>11.4</v>
      </c>
      <c r="I18" s="3">
        <v>14</v>
      </c>
      <c r="J18" s="3">
        <v>17.100000000000001</v>
      </c>
    </row>
    <row r="19" spans="1:10" x14ac:dyDescent="0.3">
      <c r="A19" s="3">
        <v>140</v>
      </c>
      <c r="B19" s="3">
        <v>3.4</v>
      </c>
      <c r="C19" s="3">
        <v>4.2</v>
      </c>
      <c r="D19" s="3">
        <v>5.4</v>
      </c>
      <c r="E19" s="3">
        <v>6.7</v>
      </c>
      <c r="F19" s="3">
        <v>8.3000000000000007</v>
      </c>
      <c r="G19" s="3">
        <v>10.3</v>
      </c>
      <c r="H19" s="3">
        <v>12.7</v>
      </c>
      <c r="I19" s="3">
        <v>15.7</v>
      </c>
      <c r="J19" s="3">
        <v>19.2</v>
      </c>
    </row>
    <row r="20" spans="1:10" x14ac:dyDescent="0.3">
      <c r="A20" s="3">
        <v>160</v>
      </c>
      <c r="B20" s="3">
        <v>3.9</v>
      </c>
      <c r="C20" s="3">
        <v>4.8</v>
      </c>
      <c r="D20" s="3">
        <v>6.2</v>
      </c>
      <c r="E20" s="3">
        <v>7.7</v>
      </c>
      <c r="F20" s="3">
        <v>9.5</v>
      </c>
      <c r="G20" s="3">
        <v>11.8</v>
      </c>
      <c r="H20" s="3">
        <v>14.6</v>
      </c>
      <c r="I20" s="3">
        <v>17.8</v>
      </c>
      <c r="J20" s="3">
        <v>21.9</v>
      </c>
    </row>
    <row r="21" spans="1:10" x14ac:dyDescent="0.3">
      <c r="A21" s="3">
        <v>180</v>
      </c>
      <c r="B21" s="3">
        <v>4.4000000000000004</v>
      </c>
      <c r="C21" s="3">
        <v>5.5</v>
      </c>
      <c r="D21" s="3">
        <v>6.9</v>
      </c>
      <c r="E21" s="3">
        <v>8.6</v>
      </c>
      <c r="F21" s="3">
        <v>10.7</v>
      </c>
      <c r="G21" s="3">
        <v>13.3</v>
      </c>
      <c r="H21" s="3">
        <v>16.399999999999999</v>
      </c>
      <c r="I21" s="3">
        <v>20.100000000000001</v>
      </c>
      <c r="J21" s="3">
        <v>24.6</v>
      </c>
    </row>
    <row r="22" spans="1:10" x14ac:dyDescent="0.3">
      <c r="A22" s="3">
        <v>200</v>
      </c>
      <c r="B22" s="3">
        <v>4.9000000000000004</v>
      </c>
      <c r="C22" s="3">
        <v>6.1</v>
      </c>
      <c r="D22" s="3">
        <v>7.7</v>
      </c>
      <c r="E22" s="3">
        <v>9.6</v>
      </c>
      <c r="F22" s="3">
        <v>11.9</v>
      </c>
      <c r="G22" s="3">
        <v>14.7</v>
      </c>
      <c r="H22" s="3">
        <v>18.2</v>
      </c>
      <c r="I22" s="3">
        <v>22.4</v>
      </c>
      <c r="J22" s="3">
        <v>27.4</v>
      </c>
    </row>
    <row r="23" spans="1:10" x14ac:dyDescent="0.3">
      <c r="A23" s="3">
        <v>225</v>
      </c>
      <c r="B23" s="3">
        <v>5.5</v>
      </c>
      <c r="C23" s="3">
        <v>6.8</v>
      </c>
      <c r="D23" s="3">
        <v>8.6</v>
      </c>
      <c r="E23" s="3">
        <v>10.8</v>
      </c>
      <c r="F23" s="3">
        <v>13.4</v>
      </c>
      <c r="G23" s="3">
        <v>16.600000000000001</v>
      </c>
      <c r="H23" s="3">
        <v>20.5</v>
      </c>
      <c r="I23" s="3">
        <v>25.2</v>
      </c>
      <c r="J23" s="3">
        <v>30.8</v>
      </c>
    </row>
    <row r="24" spans="1:10" x14ac:dyDescent="0.3">
      <c r="A24" s="3">
        <v>250</v>
      </c>
      <c r="B24" s="3">
        <v>6.1</v>
      </c>
      <c r="C24" s="3">
        <v>7.6</v>
      </c>
      <c r="D24" s="3">
        <v>9.6</v>
      </c>
      <c r="E24" s="3">
        <v>11.9</v>
      </c>
      <c r="F24" s="3">
        <v>14.8</v>
      </c>
      <c r="G24" s="3">
        <v>18.399999999999999</v>
      </c>
      <c r="H24" s="3">
        <v>22.7</v>
      </c>
      <c r="I24" s="3">
        <v>27.9</v>
      </c>
      <c r="J24" s="3">
        <v>34.200000000000003</v>
      </c>
    </row>
    <row r="25" spans="1:10" x14ac:dyDescent="0.3">
      <c r="A25" s="3">
        <v>280</v>
      </c>
      <c r="B25" s="3">
        <v>6.8</v>
      </c>
      <c r="C25" s="3">
        <v>8.5</v>
      </c>
      <c r="D25" s="3">
        <v>10.7</v>
      </c>
      <c r="E25" s="3">
        <v>13.4</v>
      </c>
      <c r="F25" s="3">
        <v>16.600000000000001</v>
      </c>
      <c r="G25" s="3">
        <v>20.6</v>
      </c>
      <c r="H25" s="3">
        <v>25.4</v>
      </c>
      <c r="I25" s="3">
        <v>31.3</v>
      </c>
      <c r="J25" s="3">
        <v>38.299999999999997</v>
      </c>
    </row>
    <row r="26" spans="1:10" x14ac:dyDescent="0.3">
      <c r="A26" s="3">
        <v>315</v>
      </c>
      <c r="B26" s="3">
        <v>7.7</v>
      </c>
      <c r="C26" s="3">
        <v>9.6999999999999993</v>
      </c>
      <c r="D26" s="3">
        <v>12.1</v>
      </c>
      <c r="E26" s="3">
        <v>15</v>
      </c>
      <c r="F26" s="3">
        <v>18.7</v>
      </c>
      <c r="G26" s="3">
        <v>23.2</v>
      </c>
      <c r="H26" s="3">
        <v>28.6</v>
      </c>
      <c r="I26" s="3">
        <v>35.200000000000003</v>
      </c>
      <c r="J26" s="3">
        <v>43.1</v>
      </c>
    </row>
    <row r="27" spans="1:10" x14ac:dyDescent="0.3">
      <c r="A27" s="3">
        <v>355</v>
      </c>
      <c r="B27" s="3">
        <v>8.6999999999999993</v>
      </c>
      <c r="C27" s="3">
        <v>10.9</v>
      </c>
      <c r="D27" s="3">
        <v>13.6</v>
      </c>
      <c r="E27" s="3">
        <v>16.899999999999999</v>
      </c>
      <c r="F27" s="3">
        <v>21.1</v>
      </c>
      <c r="G27" s="3">
        <v>26.1</v>
      </c>
      <c r="H27" s="3">
        <v>32.200000000000003</v>
      </c>
      <c r="I27" s="3">
        <v>39.700000000000003</v>
      </c>
      <c r="J27" s="3">
        <v>48.5</v>
      </c>
    </row>
    <row r="28" spans="1:10" x14ac:dyDescent="0.3">
      <c r="A28" s="3">
        <v>400</v>
      </c>
      <c r="B28" s="3">
        <v>9.8000000000000007</v>
      </c>
      <c r="C28" s="3">
        <v>12.3</v>
      </c>
      <c r="D28" s="3">
        <v>15.3</v>
      </c>
      <c r="E28" s="3">
        <v>19.100000000000001</v>
      </c>
      <c r="F28" s="3">
        <v>23.7</v>
      </c>
      <c r="G28" s="3">
        <v>29.4</v>
      </c>
      <c r="H28" s="3">
        <v>36.299999999999997</v>
      </c>
      <c r="I28" s="3">
        <v>44.7</v>
      </c>
      <c r="J28" s="3">
        <v>54.7</v>
      </c>
    </row>
    <row r="29" spans="1:10" x14ac:dyDescent="0.3">
      <c r="A29" s="3">
        <v>450</v>
      </c>
      <c r="B29" s="3">
        <v>11</v>
      </c>
      <c r="C29" s="3">
        <v>13.8</v>
      </c>
      <c r="D29" s="3">
        <v>17.2</v>
      </c>
      <c r="E29" s="3">
        <v>21.5</v>
      </c>
      <c r="F29" s="3">
        <v>26.7</v>
      </c>
      <c r="G29" s="3">
        <v>33.1</v>
      </c>
      <c r="H29" s="3">
        <v>40.9</v>
      </c>
      <c r="I29" s="3">
        <v>50.3</v>
      </c>
      <c r="J29" s="3">
        <v>61.5</v>
      </c>
    </row>
    <row r="30" spans="1:10" x14ac:dyDescent="0.3">
      <c r="A30" s="3">
        <v>500</v>
      </c>
      <c r="B30" s="3">
        <v>12.2</v>
      </c>
      <c r="C30" s="3">
        <v>15.3</v>
      </c>
      <c r="D30" s="3">
        <v>19.100000000000001</v>
      </c>
      <c r="E30" s="3">
        <v>23.9</v>
      </c>
      <c r="F30" s="3">
        <v>29.7</v>
      </c>
      <c r="G30" s="3">
        <v>36.799999999999997</v>
      </c>
      <c r="H30" s="3">
        <v>45.4</v>
      </c>
      <c r="I30" s="3">
        <v>55.8</v>
      </c>
    </row>
    <row r="31" spans="1:10" x14ac:dyDescent="0.3">
      <c r="A31" s="3">
        <v>560</v>
      </c>
      <c r="B31" s="3">
        <v>13.7</v>
      </c>
      <c r="C31" s="3">
        <v>18.2</v>
      </c>
      <c r="D31" s="3">
        <v>21.4</v>
      </c>
      <c r="E31" s="3">
        <v>26.7</v>
      </c>
      <c r="F31" s="3">
        <v>33.200000000000003</v>
      </c>
      <c r="G31" s="3">
        <v>41.2</v>
      </c>
      <c r="H31" s="3">
        <v>50.8</v>
      </c>
      <c r="I31" s="3">
        <v>62.5</v>
      </c>
    </row>
    <row r="32" spans="1:10" x14ac:dyDescent="0.3">
      <c r="A32" s="3">
        <v>630</v>
      </c>
      <c r="B32" s="3">
        <v>15.4</v>
      </c>
      <c r="C32" s="3">
        <v>19.3</v>
      </c>
      <c r="D32" s="3">
        <v>24.1</v>
      </c>
      <c r="E32" s="3">
        <v>30</v>
      </c>
      <c r="F32" s="3">
        <v>37.4</v>
      </c>
      <c r="G32" s="3">
        <v>46.3</v>
      </c>
      <c r="H32" s="3">
        <v>57.2</v>
      </c>
      <c r="I32" s="3">
        <v>70.3</v>
      </c>
    </row>
    <row r="33" spans="1:10" x14ac:dyDescent="0.3">
      <c r="A33" s="3">
        <v>710</v>
      </c>
      <c r="B33" s="3">
        <v>17.399999999999999</v>
      </c>
      <c r="C33" s="3">
        <v>21.8</v>
      </c>
      <c r="D33" s="3">
        <v>27.2</v>
      </c>
      <c r="E33" s="3">
        <v>33.9</v>
      </c>
      <c r="F33" s="3">
        <v>42.1</v>
      </c>
      <c r="G33" s="3">
        <v>52.2</v>
      </c>
      <c r="H33" s="3">
        <v>64.5</v>
      </c>
      <c r="I33" s="3">
        <v>79.3</v>
      </c>
    </row>
    <row r="34" spans="1:10" s="3" customFormat="1" x14ac:dyDescent="0.3">
      <c r="A34" s="3">
        <v>800</v>
      </c>
      <c r="B34" s="3">
        <v>19.600000000000001</v>
      </c>
      <c r="C34" s="3">
        <v>24.5</v>
      </c>
      <c r="D34" s="3">
        <v>30.6</v>
      </c>
      <c r="E34" s="3">
        <v>38.1</v>
      </c>
      <c r="F34" s="3">
        <v>47.4</v>
      </c>
      <c r="G34" s="3">
        <v>58.8</v>
      </c>
      <c r="H34" s="3">
        <v>72.599999999999994</v>
      </c>
      <c r="I34" s="3">
        <v>89.3</v>
      </c>
    </row>
    <row r="35" spans="1:10" s="3" customFormat="1" x14ac:dyDescent="0.3">
      <c r="A35" s="3">
        <v>900</v>
      </c>
      <c r="B35" s="3">
        <v>22</v>
      </c>
      <c r="C35" s="3">
        <v>27.6</v>
      </c>
      <c r="D35" s="3">
        <v>34.4</v>
      </c>
      <c r="E35" s="3">
        <v>42.9</v>
      </c>
      <c r="F35" s="3">
        <v>53.3</v>
      </c>
      <c r="G35" s="3">
        <v>66.2</v>
      </c>
      <c r="H35" s="3">
        <v>81.7</v>
      </c>
    </row>
    <row r="36" spans="1:10" s="3" customFormat="1" x14ac:dyDescent="0.3">
      <c r="A36" s="3">
        <v>1000</v>
      </c>
      <c r="B36" s="3">
        <v>24.5</v>
      </c>
      <c r="C36" s="3">
        <v>30.6</v>
      </c>
      <c r="D36" s="3">
        <v>38.200000000000003</v>
      </c>
      <c r="E36" s="3">
        <v>47.7</v>
      </c>
      <c r="F36" s="3">
        <v>59.3</v>
      </c>
      <c r="G36" s="3">
        <v>72.5</v>
      </c>
      <c r="H36" s="3">
        <v>90.2</v>
      </c>
    </row>
    <row r="39" spans="1:10" ht="22.5" customHeight="1" x14ac:dyDescent="0.3">
      <c r="A39" s="8" t="s">
        <v>21</v>
      </c>
    </row>
    <row r="40" spans="1:10" s="2" customFormat="1" x14ac:dyDescent="0.3">
      <c r="A40" s="6" t="s">
        <v>1</v>
      </c>
      <c r="B40" s="6" t="s">
        <v>25</v>
      </c>
      <c r="C40" s="6" t="s">
        <v>26</v>
      </c>
      <c r="D40" s="6" t="s">
        <v>27</v>
      </c>
      <c r="E40" s="6" t="s">
        <v>28</v>
      </c>
      <c r="F40" s="6" t="s">
        <v>29</v>
      </c>
      <c r="G40" s="6" t="s">
        <v>30</v>
      </c>
      <c r="H40" s="6" t="s">
        <v>31</v>
      </c>
      <c r="I40" s="6" t="s">
        <v>32</v>
      </c>
      <c r="J40" s="6" t="s">
        <v>33</v>
      </c>
    </row>
    <row r="41" spans="1:10" s="2" customFormat="1" ht="28.8" x14ac:dyDescent="0.3">
      <c r="A41" s="4" t="s">
        <v>0</v>
      </c>
      <c r="B41" s="4" t="s">
        <v>7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</row>
    <row r="42" spans="1:10" x14ac:dyDescent="0.3">
      <c r="A42" s="3">
        <v>16</v>
      </c>
      <c r="H42" s="3">
        <v>1.75</v>
      </c>
      <c r="I42" s="3">
        <v>2.15</v>
      </c>
      <c r="J42" s="3">
        <v>2.5</v>
      </c>
    </row>
    <row r="43" spans="1:10" x14ac:dyDescent="0.3">
      <c r="A43" s="3">
        <v>20</v>
      </c>
      <c r="G43" s="3">
        <v>1.75</v>
      </c>
      <c r="H43" s="3">
        <v>2.15</v>
      </c>
      <c r="I43" s="3">
        <v>2.5</v>
      </c>
      <c r="J43" s="3">
        <v>3.2</v>
      </c>
    </row>
    <row r="44" spans="1:10" x14ac:dyDescent="0.3">
      <c r="A44" s="3">
        <v>25</v>
      </c>
      <c r="F44" s="3">
        <v>1.8</v>
      </c>
      <c r="G44" s="3">
        <v>2.15</v>
      </c>
      <c r="H44" s="3">
        <v>2.5</v>
      </c>
      <c r="I44" s="3">
        <v>3.2</v>
      </c>
      <c r="J44" s="3">
        <v>3.75</v>
      </c>
    </row>
    <row r="45" spans="1:10" x14ac:dyDescent="0.3">
      <c r="A45" s="3">
        <v>32</v>
      </c>
      <c r="D45" s="3">
        <v>1.75</v>
      </c>
      <c r="E45" s="3">
        <v>1.8</v>
      </c>
      <c r="F45" s="3">
        <v>2.2000000000000002</v>
      </c>
      <c r="G45" s="3">
        <v>2.6</v>
      </c>
      <c r="H45" s="3">
        <v>3.2</v>
      </c>
      <c r="I45" s="3">
        <v>3.85</v>
      </c>
      <c r="J45" s="3">
        <v>4.7</v>
      </c>
    </row>
    <row r="46" spans="1:10" x14ac:dyDescent="0.3">
      <c r="A46" s="3">
        <v>40</v>
      </c>
      <c r="D46" s="3">
        <v>1.75</v>
      </c>
      <c r="E46" s="3">
        <v>2.2000000000000002</v>
      </c>
      <c r="F46" s="3">
        <v>2.6</v>
      </c>
      <c r="G46" s="3">
        <v>3.25</v>
      </c>
      <c r="H46" s="3">
        <v>3.95</v>
      </c>
      <c r="I46" s="3">
        <v>4.8</v>
      </c>
      <c r="J46" s="3">
        <v>5.85</v>
      </c>
    </row>
    <row r="47" spans="1:10" x14ac:dyDescent="0.3">
      <c r="A47" s="3">
        <v>50</v>
      </c>
      <c r="B47" s="3">
        <v>1.75</v>
      </c>
      <c r="C47" s="3">
        <v>1.75</v>
      </c>
      <c r="D47" s="3">
        <v>2.15</v>
      </c>
      <c r="E47" s="3">
        <v>2.6</v>
      </c>
      <c r="F47" s="3">
        <v>3.2</v>
      </c>
      <c r="G47" s="3">
        <v>3.95</v>
      </c>
      <c r="H47" s="3">
        <v>4.9000000000000004</v>
      </c>
      <c r="I47" s="3">
        <v>5.95</v>
      </c>
      <c r="J47" s="3">
        <v>7.3</v>
      </c>
    </row>
    <row r="48" spans="1:10" x14ac:dyDescent="0.3">
      <c r="A48" s="3">
        <v>63</v>
      </c>
      <c r="B48" s="3">
        <v>1.75</v>
      </c>
      <c r="C48" s="3">
        <v>2.0499999999999998</v>
      </c>
      <c r="D48" s="3">
        <v>2.7</v>
      </c>
      <c r="E48" s="3">
        <v>3.2</v>
      </c>
      <c r="F48" s="3">
        <v>4.0999999999999996</v>
      </c>
      <c r="G48" s="3">
        <v>5</v>
      </c>
      <c r="H48" s="3">
        <v>6.15</v>
      </c>
      <c r="I48" s="3">
        <v>8</v>
      </c>
      <c r="J48" s="3">
        <v>9.1</v>
      </c>
    </row>
    <row r="49" spans="1:10" x14ac:dyDescent="0.3">
      <c r="A49" s="3">
        <v>75</v>
      </c>
      <c r="B49" s="3">
        <v>1.95</v>
      </c>
      <c r="C49" s="3">
        <v>2.4500000000000002</v>
      </c>
      <c r="D49" s="3">
        <v>3.1</v>
      </c>
      <c r="E49" s="3">
        <v>3.9</v>
      </c>
      <c r="F49" s="3">
        <v>4.8</v>
      </c>
      <c r="G49" s="3">
        <v>5.95</v>
      </c>
      <c r="H49" s="3">
        <v>7.2</v>
      </c>
      <c r="I49" s="3">
        <v>8.9</v>
      </c>
      <c r="J49" s="3">
        <v>10.9</v>
      </c>
    </row>
    <row r="50" spans="1:10" x14ac:dyDescent="0.3">
      <c r="A50" s="3">
        <v>90</v>
      </c>
      <c r="B50" s="3">
        <v>2.35</v>
      </c>
      <c r="C50" s="3">
        <v>2.9</v>
      </c>
      <c r="D50" s="3">
        <v>3.75</v>
      </c>
      <c r="E50" s="3">
        <v>4.5999999999999996</v>
      </c>
      <c r="F50" s="3">
        <v>5.8</v>
      </c>
      <c r="G50" s="3">
        <v>7.1</v>
      </c>
      <c r="H50" s="3">
        <v>8.6999999999999993</v>
      </c>
      <c r="I50" s="3">
        <v>10.7</v>
      </c>
      <c r="J50" s="3">
        <v>13</v>
      </c>
    </row>
    <row r="51" spans="1:10" x14ac:dyDescent="0.3">
      <c r="A51" s="3">
        <v>110</v>
      </c>
      <c r="B51" s="3">
        <v>2.9</v>
      </c>
      <c r="C51" s="3">
        <v>3.55</v>
      </c>
      <c r="D51" s="3">
        <v>4.5</v>
      </c>
      <c r="E51" s="3">
        <v>5.7</v>
      </c>
      <c r="F51" s="3">
        <v>7</v>
      </c>
      <c r="G51" s="3">
        <v>8.6</v>
      </c>
      <c r="H51" s="3">
        <v>10.55</v>
      </c>
      <c r="I51" s="3">
        <v>13</v>
      </c>
      <c r="J51" s="3">
        <v>15.95</v>
      </c>
    </row>
    <row r="52" spans="1:10" x14ac:dyDescent="0.3">
      <c r="A52" s="3">
        <v>125</v>
      </c>
      <c r="B52" s="3">
        <v>3.25</v>
      </c>
      <c r="C52" s="3">
        <v>4.0999999999999996</v>
      </c>
      <c r="D52" s="3">
        <v>5.0999999999999996</v>
      </c>
      <c r="E52" s="3">
        <v>6.4</v>
      </c>
      <c r="F52" s="3">
        <v>7.9</v>
      </c>
      <c r="G52" s="3">
        <v>9.75</v>
      </c>
      <c r="H52" s="3">
        <v>12.05</v>
      </c>
      <c r="I52" s="3">
        <v>14.8</v>
      </c>
      <c r="J52" s="3">
        <v>18.05</v>
      </c>
    </row>
    <row r="53" spans="1:10" x14ac:dyDescent="0.3">
      <c r="A53" s="3">
        <v>140</v>
      </c>
      <c r="B53" s="3">
        <v>3.65</v>
      </c>
      <c r="C53" s="3">
        <v>4.55</v>
      </c>
      <c r="D53" s="3">
        <v>5.75</v>
      </c>
      <c r="E53" s="3">
        <v>7.1</v>
      </c>
      <c r="F53" s="3">
        <v>8.8000000000000007</v>
      </c>
      <c r="G53" s="3">
        <v>10.9</v>
      </c>
      <c r="H53" s="3">
        <v>13.4</v>
      </c>
      <c r="I53" s="3">
        <v>16.55</v>
      </c>
      <c r="J53" s="3">
        <v>20.25</v>
      </c>
    </row>
    <row r="54" spans="1:10" x14ac:dyDescent="0.3">
      <c r="A54" s="3">
        <v>160</v>
      </c>
      <c r="B54" s="3">
        <v>4.1500000000000004</v>
      </c>
      <c r="C54" s="3">
        <v>5.0999999999999996</v>
      </c>
      <c r="D54" s="3">
        <v>6.6</v>
      </c>
      <c r="E54" s="3">
        <v>8.1999999999999993</v>
      </c>
      <c r="F54" s="3">
        <v>10.1</v>
      </c>
      <c r="G54" s="3">
        <v>12.45</v>
      </c>
      <c r="H54" s="3">
        <v>15.4</v>
      </c>
      <c r="I54" s="3">
        <v>18.8</v>
      </c>
      <c r="J54" s="3">
        <v>23.05</v>
      </c>
    </row>
    <row r="55" spans="1:10" x14ac:dyDescent="0.3">
      <c r="A55" s="3">
        <v>180</v>
      </c>
      <c r="B55" s="3">
        <v>4.6500000000000004</v>
      </c>
      <c r="C55" s="3">
        <v>5.8</v>
      </c>
      <c r="D55" s="3">
        <v>7.3</v>
      </c>
      <c r="E55" s="3">
        <v>9.1</v>
      </c>
      <c r="F55" s="3">
        <v>11.3</v>
      </c>
      <c r="G55" s="3">
        <v>14.05</v>
      </c>
      <c r="H55" s="3">
        <v>17.3</v>
      </c>
      <c r="I55" s="3">
        <v>21.2</v>
      </c>
      <c r="J55" s="3">
        <v>25.9</v>
      </c>
    </row>
    <row r="56" spans="1:10" x14ac:dyDescent="0.3">
      <c r="A56" s="3">
        <v>200</v>
      </c>
      <c r="B56" s="3">
        <v>5.2</v>
      </c>
      <c r="C56" s="3">
        <v>6.45</v>
      </c>
      <c r="D56" s="3">
        <v>8.15</v>
      </c>
      <c r="E56" s="3">
        <v>10.199999999999999</v>
      </c>
      <c r="F56" s="3">
        <v>12.6</v>
      </c>
      <c r="G56" s="3">
        <v>15.5</v>
      </c>
      <c r="H56" s="3">
        <v>19.2</v>
      </c>
      <c r="I56" s="3">
        <v>23.6</v>
      </c>
      <c r="J56" s="3">
        <v>28.85</v>
      </c>
    </row>
    <row r="57" spans="1:10" x14ac:dyDescent="0.3">
      <c r="A57" s="3">
        <v>225</v>
      </c>
      <c r="B57" s="3">
        <v>5.8</v>
      </c>
      <c r="C57" s="3">
        <v>7.2</v>
      </c>
      <c r="D57" s="3">
        <v>9.1</v>
      </c>
      <c r="E57" s="3">
        <v>11.4</v>
      </c>
      <c r="F57" s="3">
        <v>14.2</v>
      </c>
      <c r="G57" s="3">
        <v>17.5</v>
      </c>
      <c r="H57" s="3">
        <v>21.65</v>
      </c>
      <c r="I57" s="3">
        <v>26.55</v>
      </c>
      <c r="J57" s="3">
        <v>32.4</v>
      </c>
    </row>
    <row r="58" spans="1:10" x14ac:dyDescent="0.3">
      <c r="A58" s="3">
        <v>250</v>
      </c>
      <c r="B58" s="3">
        <v>6.45</v>
      </c>
      <c r="C58" s="3">
        <v>8</v>
      </c>
      <c r="D58" s="3">
        <v>10.15</v>
      </c>
      <c r="E58" s="3">
        <v>12.6</v>
      </c>
      <c r="F58" s="3">
        <v>15.6</v>
      </c>
      <c r="G58" s="3">
        <v>19.399999999999999</v>
      </c>
      <c r="H58" s="3">
        <v>23.9</v>
      </c>
      <c r="I58" s="3">
        <v>29.35</v>
      </c>
      <c r="J58" s="3">
        <v>36</v>
      </c>
    </row>
    <row r="59" spans="1:10" x14ac:dyDescent="0.3">
      <c r="A59" s="3">
        <v>280</v>
      </c>
      <c r="B59" s="3">
        <v>7.2</v>
      </c>
      <c r="C59" s="3">
        <v>9</v>
      </c>
      <c r="D59" s="3">
        <v>11.3</v>
      </c>
      <c r="E59" s="3">
        <v>14.2</v>
      </c>
      <c r="F59" s="3">
        <v>17.5</v>
      </c>
      <c r="G59" s="3">
        <v>21.7</v>
      </c>
      <c r="H59" s="3">
        <v>26.75</v>
      </c>
      <c r="I59" s="3">
        <v>32.85</v>
      </c>
      <c r="J59" s="3">
        <v>40.299999999999997</v>
      </c>
    </row>
    <row r="60" spans="1:10" x14ac:dyDescent="0.3">
      <c r="A60" s="3">
        <v>315</v>
      </c>
      <c r="B60" s="3">
        <v>8.15</v>
      </c>
      <c r="C60" s="3">
        <v>10.25</v>
      </c>
      <c r="D60" s="3">
        <v>12.8</v>
      </c>
      <c r="E60" s="3">
        <v>15.8</v>
      </c>
      <c r="F60" s="3">
        <v>19.7</v>
      </c>
      <c r="G60" s="3">
        <v>24.45</v>
      </c>
      <c r="H60" s="3">
        <v>30.1</v>
      </c>
      <c r="I60" s="3">
        <v>37.049999999999997</v>
      </c>
      <c r="J60" s="3">
        <v>45.35</v>
      </c>
    </row>
    <row r="61" spans="1:10" x14ac:dyDescent="0.3">
      <c r="A61" s="3">
        <v>355</v>
      </c>
      <c r="B61" s="3">
        <v>9.1999999999999993</v>
      </c>
      <c r="C61" s="3">
        <v>11.5</v>
      </c>
      <c r="D61" s="3">
        <v>14.35</v>
      </c>
      <c r="E61" s="3">
        <v>17.8</v>
      </c>
      <c r="F61" s="3">
        <v>22.3</v>
      </c>
      <c r="G61" s="3">
        <v>27.5</v>
      </c>
      <c r="H61" s="3">
        <v>33.9</v>
      </c>
      <c r="I61" s="3">
        <v>41.75</v>
      </c>
      <c r="J61" s="3">
        <v>51</v>
      </c>
    </row>
    <row r="62" spans="1:10" x14ac:dyDescent="0.3">
      <c r="A62" s="3">
        <v>400</v>
      </c>
      <c r="B62" s="3">
        <v>10.35</v>
      </c>
      <c r="C62" s="3">
        <v>13</v>
      </c>
      <c r="D62" s="3">
        <v>16.149999999999999</v>
      </c>
      <c r="E62" s="3">
        <v>20.2</v>
      </c>
      <c r="F62" s="3">
        <v>25</v>
      </c>
      <c r="G62" s="3">
        <v>30.95</v>
      </c>
      <c r="H62" s="3">
        <v>38.200000000000003</v>
      </c>
      <c r="I62" s="3">
        <v>47.15</v>
      </c>
      <c r="J62" s="3">
        <v>57.5</v>
      </c>
    </row>
    <row r="63" spans="1:10" x14ac:dyDescent="0.3">
      <c r="A63" s="3">
        <v>450</v>
      </c>
      <c r="B63" s="3">
        <v>11.6</v>
      </c>
      <c r="C63" s="3">
        <v>14.55</v>
      </c>
      <c r="D63" s="3">
        <v>18.149999999999999</v>
      </c>
      <c r="E63" s="3">
        <v>22.7</v>
      </c>
      <c r="F63" s="3">
        <v>28.1</v>
      </c>
      <c r="G63" s="3">
        <v>34.85</v>
      </c>
      <c r="H63" s="3">
        <v>43</v>
      </c>
      <c r="I63" s="3">
        <v>52.9</v>
      </c>
      <c r="J63" s="3">
        <v>64.650000000000006</v>
      </c>
    </row>
    <row r="64" spans="1:10" x14ac:dyDescent="0.3">
      <c r="A64" s="3">
        <v>500</v>
      </c>
      <c r="B64" s="3">
        <v>12.95</v>
      </c>
      <c r="C64" s="3">
        <v>16.149999999999999</v>
      </c>
      <c r="D64" s="3">
        <v>20.149999999999999</v>
      </c>
      <c r="E64" s="3">
        <v>25.2</v>
      </c>
      <c r="F64" s="3">
        <v>31.3</v>
      </c>
      <c r="G64" s="3">
        <v>38.799999999999997</v>
      </c>
      <c r="H64" s="3">
        <v>47.75</v>
      </c>
      <c r="I64" s="3">
        <v>58.65</v>
      </c>
    </row>
    <row r="65" spans="1:10" x14ac:dyDescent="0.3">
      <c r="A65" s="3">
        <v>560</v>
      </c>
      <c r="B65" s="3">
        <v>14.45</v>
      </c>
      <c r="C65" s="3">
        <v>18.649999999999999</v>
      </c>
      <c r="D65" s="3">
        <v>22.55</v>
      </c>
      <c r="E65" s="3">
        <v>28.2</v>
      </c>
      <c r="F65" s="3">
        <v>35</v>
      </c>
      <c r="G65" s="3">
        <v>43.35</v>
      </c>
      <c r="H65" s="3">
        <v>53.4</v>
      </c>
      <c r="I65" s="3">
        <v>65.7</v>
      </c>
    </row>
    <row r="66" spans="1:10" x14ac:dyDescent="0.3">
      <c r="A66" s="3">
        <v>630</v>
      </c>
      <c r="B66" s="3">
        <v>16.25</v>
      </c>
      <c r="C66" s="3">
        <v>20.350000000000001</v>
      </c>
      <c r="D66" s="3">
        <v>25.4</v>
      </c>
      <c r="E66" s="3">
        <v>31.6</v>
      </c>
      <c r="F66" s="3">
        <v>39.4</v>
      </c>
      <c r="G66" s="3">
        <v>48.7</v>
      </c>
      <c r="H66" s="3">
        <v>60.15</v>
      </c>
      <c r="I66" s="3">
        <v>73.900000000000006</v>
      </c>
    </row>
    <row r="67" spans="1:10" x14ac:dyDescent="0.3">
      <c r="A67" s="3">
        <v>710</v>
      </c>
      <c r="B67" s="3">
        <v>18.350000000000001</v>
      </c>
      <c r="C67" s="3">
        <v>22.95</v>
      </c>
      <c r="D67" s="3">
        <v>28.65</v>
      </c>
      <c r="E67" s="3">
        <v>35.700000000000003</v>
      </c>
      <c r="F67" s="3">
        <v>44.3</v>
      </c>
      <c r="G67" s="3">
        <v>54.9</v>
      </c>
      <c r="H67" s="3">
        <v>67.8</v>
      </c>
      <c r="I67" s="3">
        <v>83.35</v>
      </c>
    </row>
    <row r="68" spans="1:10" x14ac:dyDescent="0.3">
      <c r="A68" s="3">
        <v>800</v>
      </c>
      <c r="B68" s="3">
        <v>20.65</v>
      </c>
      <c r="C68" s="3">
        <v>25.8</v>
      </c>
      <c r="D68" s="3">
        <v>32.200000000000003</v>
      </c>
      <c r="E68" s="3">
        <v>40.1</v>
      </c>
      <c r="F68" s="3">
        <v>49.9</v>
      </c>
      <c r="G68" s="3">
        <v>61.8</v>
      </c>
      <c r="H68" s="3">
        <v>76.3</v>
      </c>
      <c r="I68" s="3">
        <v>93.85</v>
      </c>
    </row>
    <row r="69" spans="1:10" x14ac:dyDescent="0.3">
      <c r="A69" s="3">
        <v>900</v>
      </c>
      <c r="B69" s="3">
        <v>23.15</v>
      </c>
      <c r="C69" s="3">
        <v>29.05</v>
      </c>
      <c r="D69" s="3">
        <v>36.35</v>
      </c>
      <c r="E69" s="3">
        <v>45.1</v>
      </c>
      <c r="F69" s="3">
        <v>56.1</v>
      </c>
      <c r="G69" s="3">
        <v>69.599999999999994</v>
      </c>
      <c r="H69" s="3">
        <v>85.85</v>
      </c>
    </row>
    <row r="70" spans="1:10" x14ac:dyDescent="0.3">
      <c r="A70" s="3">
        <v>1000</v>
      </c>
      <c r="B70" s="3">
        <v>25.8</v>
      </c>
      <c r="C70" s="3">
        <v>32.049999999999997</v>
      </c>
      <c r="D70" s="3">
        <v>40.200000000000003</v>
      </c>
      <c r="E70" s="3">
        <v>50.2</v>
      </c>
      <c r="F70" s="3">
        <v>62.4</v>
      </c>
      <c r="G70" s="3">
        <v>76.2</v>
      </c>
      <c r="H70" s="3">
        <v>94.8</v>
      </c>
    </row>
    <row r="73" spans="1:10" ht="22.5" customHeight="1" x14ac:dyDescent="0.3">
      <c r="A73" s="8" t="s">
        <v>22</v>
      </c>
    </row>
    <row r="74" spans="1:10" s="2" customFormat="1" x14ac:dyDescent="0.3">
      <c r="A74" s="6" t="s">
        <v>1</v>
      </c>
      <c r="B74" s="6" t="s">
        <v>25</v>
      </c>
      <c r="C74" s="6" t="s">
        <v>26</v>
      </c>
      <c r="D74" s="6" t="s">
        <v>27</v>
      </c>
      <c r="E74" s="6" t="s">
        <v>28</v>
      </c>
      <c r="F74" s="6" t="s">
        <v>29</v>
      </c>
      <c r="G74" s="6" t="s">
        <v>30</v>
      </c>
      <c r="H74" s="6" t="s">
        <v>31</v>
      </c>
      <c r="I74" s="6" t="s">
        <v>32</v>
      </c>
      <c r="J74" s="6" t="s">
        <v>33</v>
      </c>
    </row>
    <row r="75" spans="1:10" s="2" customFormat="1" ht="28.8" x14ac:dyDescent="0.3">
      <c r="A75" s="4" t="s">
        <v>0</v>
      </c>
      <c r="B75" s="5" t="s">
        <v>8</v>
      </c>
      <c r="C75" s="5" t="s">
        <v>8</v>
      </c>
      <c r="D75" s="5" t="s">
        <v>8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  <c r="J75" s="5" t="s">
        <v>8</v>
      </c>
    </row>
    <row r="76" spans="1:10" x14ac:dyDescent="0.3">
      <c r="A76" s="3">
        <v>16</v>
      </c>
      <c r="H76" s="3">
        <v>12.65</v>
      </c>
      <c r="I76" s="3">
        <v>11.85</v>
      </c>
      <c r="J76" s="3">
        <v>11.2</v>
      </c>
    </row>
    <row r="77" spans="1:10" x14ac:dyDescent="0.3">
      <c r="A77" s="3">
        <v>20</v>
      </c>
      <c r="G77" s="3">
        <v>16.649999999999999</v>
      </c>
      <c r="H77" s="3">
        <v>15.85</v>
      </c>
      <c r="I77" s="3">
        <v>15.2</v>
      </c>
      <c r="J77" s="3">
        <v>13.8</v>
      </c>
    </row>
    <row r="78" spans="1:10" x14ac:dyDescent="0.3">
      <c r="A78" s="3">
        <v>25</v>
      </c>
      <c r="F78" s="3">
        <v>21.65</v>
      </c>
      <c r="G78" s="3">
        <v>20.85</v>
      </c>
      <c r="H78" s="3">
        <v>20.2</v>
      </c>
      <c r="I78" s="3">
        <v>18.8</v>
      </c>
      <c r="J78" s="3">
        <v>17.75</v>
      </c>
    </row>
    <row r="79" spans="1:10" x14ac:dyDescent="0.3">
      <c r="A79" s="3">
        <v>32</v>
      </c>
      <c r="D79" s="3">
        <v>28.65</v>
      </c>
      <c r="E79" s="3">
        <v>28.5</v>
      </c>
      <c r="F79" s="3">
        <v>27.85</v>
      </c>
      <c r="G79" s="3">
        <v>27</v>
      </c>
      <c r="H79" s="3">
        <v>25.8</v>
      </c>
      <c r="I79" s="3">
        <v>24.55</v>
      </c>
      <c r="J79" s="3">
        <v>22.9</v>
      </c>
    </row>
    <row r="80" spans="1:10" x14ac:dyDescent="0.3">
      <c r="A80" s="3">
        <v>40</v>
      </c>
      <c r="C80" s="3" t="s">
        <v>11</v>
      </c>
      <c r="D80" s="3">
        <v>36.65</v>
      </c>
      <c r="E80" s="3">
        <v>35.85</v>
      </c>
      <c r="F80" s="3">
        <v>35</v>
      </c>
      <c r="G80" s="3">
        <v>33.75</v>
      </c>
      <c r="H80" s="3">
        <v>32.35</v>
      </c>
      <c r="I80" s="3">
        <v>30.7</v>
      </c>
      <c r="J80" s="3">
        <v>28.65</v>
      </c>
    </row>
    <row r="81" spans="1:10" x14ac:dyDescent="0.3">
      <c r="A81" s="3">
        <v>50</v>
      </c>
      <c r="B81" s="3">
        <v>46.65</v>
      </c>
      <c r="C81" s="3">
        <v>46.65</v>
      </c>
      <c r="D81" s="3">
        <v>45.85</v>
      </c>
      <c r="E81" s="3">
        <v>45</v>
      </c>
      <c r="F81" s="3">
        <v>43.8</v>
      </c>
      <c r="G81" s="3">
        <v>42.35</v>
      </c>
      <c r="H81" s="3">
        <v>40.5</v>
      </c>
      <c r="I81" s="3">
        <v>38.450000000000003</v>
      </c>
      <c r="J81" s="3">
        <v>35.799999999999997</v>
      </c>
    </row>
    <row r="82" spans="1:10" x14ac:dyDescent="0.3">
      <c r="A82" s="3">
        <v>63</v>
      </c>
      <c r="B82" s="3">
        <v>59.65</v>
      </c>
      <c r="C82" s="3">
        <v>59.05</v>
      </c>
      <c r="D82" s="3">
        <v>57.8</v>
      </c>
      <c r="E82" s="3">
        <v>56.8</v>
      </c>
      <c r="F82" s="3">
        <v>55.15</v>
      </c>
      <c r="G82" s="3">
        <v>53.3</v>
      </c>
      <c r="H82" s="3">
        <v>51.05</v>
      </c>
      <c r="I82" s="3">
        <v>47.9</v>
      </c>
      <c r="J82" s="3">
        <v>45.3</v>
      </c>
    </row>
    <row r="83" spans="1:10" x14ac:dyDescent="0.3">
      <c r="A83" s="3">
        <v>75</v>
      </c>
      <c r="B83" s="3">
        <v>71.25</v>
      </c>
      <c r="C83" s="3">
        <v>70.25</v>
      </c>
      <c r="D83" s="3">
        <v>69</v>
      </c>
      <c r="E83" s="3">
        <v>67.55</v>
      </c>
      <c r="F83" s="3">
        <v>65.7</v>
      </c>
      <c r="G83" s="3">
        <v>63.45</v>
      </c>
      <c r="H83" s="3">
        <v>61</v>
      </c>
      <c r="I83" s="3">
        <v>57.7</v>
      </c>
      <c r="J83" s="3">
        <v>53.8</v>
      </c>
    </row>
    <row r="84" spans="1:10" x14ac:dyDescent="0.3">
      <c r="A84" s="3">
        <v>90</v>
      </c>
      <c r="B84" s="3">
        <v>85.45</v>
      </c>
      <c r="C84" s="3">
        <v>84.4</v>
      </c>
      <c r="D84" s="3">
        <v>82.75</v>
      </c>
      <c r="E84" s="3">
        <v>81.099999999999994</v>
      </c>
      <c r="F84" s="3">
        <v>78.849999999999994</v>
      </c>
      <c r="G84" s="3">
        <v>76.2</v>
      </c>
      <c r="H84" s="3">
        <v>73.099999999999994</v>
      </c>
      <c r="I84" s="3">
        <v>69.2</v>
      </c>
      <c r="J84" s="3">
        <v>64.7</v>
      </c>
    </row>
    <row r="85" spans="1:10" x14ac:dyDescent="0.3">
      <c r="A85" s="3">
        <v>110</v>
      </c>
      <c r="B85" s="3">
        <v>104.4</v>
      </c>
      <c r="C85" s="3">
        <v>103.15</v>
      </c>
      <c r="D85" s="3">
        <v>101.3</v>
      </c>
      <c r="E85" s="3">
        <v>99.05</v>
      </c>
      <c r="F85" s="3">
        <v>96.4</v>
      </c>
      <c r="G85" s="3">
        <v>93.3</v>
      </c>
      <c r="H85" s="3">
        <v>89.45</v>
      </c>
      <c r="I85" s="3">
        <v>84.7</v>
      </c>
      <c r="J85" s="3">
        <v>78.95</v>
      </c>
    </row>
    <row r="86" spans="1:10" x14ac:dyDescent="0.3">
      <c r="A86" s="3">
        <v>125</v>
      </c>
      <c r="B86" s="3">
        <v>118.75</v>
      </c>
      <c r="C86" s="3">
        <v>117.1</v>
      </c>
      <c r="D86" s="3">
        <v>115.1</v>
      </c>
      <c r="E86" s="3">
        <v>112.65</v>
      </c>
      <c r="F86" s="3">
        <v>109.75</v>
      </c>
      <c r="G86" s="3">
        <v>106.05</v>
      </c>
      <c r="H86" s="3">
        <v>101.55</v>
      </c>
      <c r="I86" s="3">
        <v>96.2</v>
      </c>
      <c r="J86" s="3">
        <v>89.85</v>
      </c>
    </row>
    <row r="87" spans="1:10" x14ac:dyDescent="0.3">
      <c r="A87" s="3">
        <v>140</v>
      </c>
      <c r="B87" s="3">
        <v>132.94999999999999</v>
      </c>
      <c r="C87" s="3">
        <v>131.25</v>
      </c>
      <c r="D87" s="3">
        <v>128.85</v>
      </c>
      <c r="E87" s="3">
        <v>126.2</v>
      </c>
      <c r="F87" s="3">
        <v>122.9</v>
      </c>
      <c r="G87" s="3">
        <v>118.8</v>
      </c>
      <c r="H87" s="3">
        <v>113.9</v>
      </c>
      <c r="I87" s="3">
        <v>107.75</v>
      </c>
      <c r="J87" s="3">
        <v>100.55</v>
      </c>
    </row>
    <row r="88" spans="1:10" x14ac:dyDescent="0.3">
      <c r="A88" s="3">
        <v>160</v>
      </c>
      <c r="B88" s="3">
        <v>151.94999999999999</v>
      </c>
      <c r="C88" s="3">
        <v>150.1</v>
      </c>
      <c r="D88" s="3">
        <v>147.19999999999999</v>
      </c>
      <c r="E88" s="3">
        <v>144.15</v>
      </c>
      <c r="F88" s="3">
        <v>140.44999999999999</v>
      </c>
      <c r="G88" s="3">
        <v>135.75</v>
      </c>
      <c r="H88" s="3">
        <v>130</v>
      </c>
      <c r="I88" s="3">
        <v>123.4</v>
      </c>
      <c r="J88" s="3">
        <v>115.05</v>
      </c>
    </row>
    <row r="89" spans="1:10" x14ac:dyDescent="0.3">
      <c r="A89" s="3">
        <v>180</v>
      </c>
      <c r="B89" s="3">
        <v>170.95</v>
      </c>
      <c r="C89" s="3">
        <v>168.7</v>
      </c>
      <c r="D89" s="3">
        <v>165.8</v>
      </c>
      <c r="E89" s="3">
        <v>162.30000000000001</v>
      </c>
      <c r="F89" s="3">
        <v>158</v>
      </c>
      <c r="G89" s="3">
        <v>152.65</v>
      </c>
      <c r="H89" s="3">
        <v>146.30000000000001</v>
      </c>
      <c r="I89" s="3">
        <v>138.69999999999999</v>
      </c>
      <c r="J89" s="3">
        <v>129.5</v>
      </c>
    </row>
    <row r="90" spans="1:10" x14ac:dyDescent="0.3">
      <c r="A90" s="3">
        <v>200</v>
      </c>
      <c r="B90" s="3">
        <v>189.9</v>
      </c>
      <c r="C90" s="3">
        <v>187.45</v>
      </c>
      <c r="D90" s="3">
        <v>184.15</v>
      </c>
      <c r="E90" s="3">
        <v>180.25</v>
      </c>
      <c r="F90" s="3">
        <v>175.55</v>
      </c>
      <c r="G90" s="3">
        <v>169.8</v>
      </c>
      <c r="H90" s="3">
        <v>162.6</v>
      </c>
      <c r="I90" s="3">
        <v>154</v>
      </c>
      <c r="J90" s="3">
        <v>143.75</v>
      </c>
    </row>
    <row r="91" spans="1:10" x14ac:dyDescent="0.3">
      <c r="A91" s="3">
        <v>225</v>
      </c>
      <c r="B91" s="3">
        <v>213.7</v>
      </c>
      <c r="C91" s="3">
        <v>211</v>
      </c>
      <c r="D91" s="3">
        <v>207.3</v>
      </c>
      <c r="E91" s="3">
        <v>202.8</v>
      </c>
      <c r="F91" s="3">
        <v>197.45</v>
      </c>
      <c r="G91" s="3">
        <v>190.9</v>
      </c>
      <c r="H91" s="3">
        <v>182.85</v>
      </c>
      <c r="I91" s="3">
        <v>173.25</v>
      </c>
      <c r="J91" s="3">
        <v>161.80000000000001</v>
      </c>
    </row>
    <row r="92" spans="1:10" x14ac:dyDescent="0.3">
      <c r="A92" s="3">
        <v>250</v>
      </c>
      <c r="B92" s="3">
        <v>237.45</v>
      </c>
      <c r="C92" s="3">
        <v>234.4</v>
      </c>
      <c r="D92" s="3">
        <v>230.25</v>
      </c>
      <c r="E92" s="3">
        <v>225.55</v>
      </c>
      <c r="F92" s="3">
        <v>219.6</v>
      </c>
      <c r="G92" s="3">
        <v>212.2</v>
      </c>
      <c r="H92" s="3">
        <v>203.4</v>
      </c>
      <c r="I92" s="3">
        <v>192.75</v>
      </c>
      <c r="J92" s="3">
        <v>179.8</v>
      </c>
    </row>
    <row r="93" spans="1:10" x14ac:dyDescent="0.3">
      <c r="A93" s="3">
        <v>280</v>
      </c>
      <c r="B93" s="3">
        <v>266</v>
      </c>
      <c r="C93" s="3">
        <v>262.5</v>
      </c>
      <c r="D93" s="3">
        <v>258</v>
      </c>
      <c r="E93" s="3">
        <v>252.45</v>
      </c>
      <c r="F93" s="3">
        <v>245.9</v>
      </c>
      <c r="G93" s="3">
        <v>237.7</v>
      </c>
      <c r="H93" s="3">
        <v>227.85</v>
      </c>
      <c r="I93" s="3">
        <v>215.85</v>
      </c>
      <c r="J93" s="3">
        <v>201.4</v>
      </c>
    </row>
    <row r="94" spans="1:10" x14ac:dyDescent="0.3">
      <c r="A94" s="3">
        <v>315</v>
      </c>
      <c r="B94" s="3">
        <v>299.14999999999998</v>
      </c>
      <c r="C94" s="3">
        <v>295.05</v>
      </c>
      <c r="D94" s="3">
        <v>290.10000000000002</v>
      </c>
      <c r="E94" s="3">
        <v>284.2</v>
      </c>
      <c r="F94" s="3">
        <v>276.60000000000002</v>
      </c>
      <c r="G94" s="3">
        <v>267.35000000000002</v>
      </c>
      <c r="H94" s="3">
        <v>256.3</v>
      </c>
      <c r="I94" s="3">
        <v>242.75</v>
      </c>
      <c r="J94" s="3">
        <v>226.55</v>
      </c>
    </row>
    <row r="95" spans="1:10" x14ac:dyDescent="0.3">
      <c r="A95" s="3">
        <v>355</v>
      </c>
      <c r="B95" s="3">
        <v>337.1</v>
      </c>
      <c r="C95" s="3">
        <v>332.6</v>
      </c>
      <c r="D95" s="3">
        <v>327.05</v>
      </c>
      <c r="E95" s="3">
        <v>320.3</v>
      </c>
      <c r="F95" s="3">
        <v>311.64999999999998</v>
      </c>
      <c r="G95" s="3">
        <v>301.39999999999998</v>
      </c>
      <c r="H95" s="3">
        <v>288.89999999999998</v>
      </c>
      <c r="I95" s="3">
        <v>273.55</v>
      </c>
      <c r="J95" s="3">
        <v>255.5</v>
      </c>
    </row>
    <row r="96" spans="1:10" x14ac:dyDescent="0.3">
      <c r="A96" s="3">
        <v>400</v>
      </c>
      <c r="B96" s="3">
        <v>379.85</v>
      </c>
      <c r="C96" s="3">
        <v>374.7</v>
      </c>
      <c r="D96" s="3">
        <v>368.55</v>
      </c>
      <c r="E96" s="3">
        <v>360.75</v>
      </c>
      <c r="F96" s="3">
        <v>351.35</v>
      </c>
      <c r="G96" s="3">
        <v>339.65</v>
      </c>
      <c r="H96" s="3">
        <v>325.5</v>
      </c>
      <c r="I96" s="3">
        <v>308.14999999999998</v>
      </c>
      <c r="J96" s="3">
        <v>287.8</v>
      </c>
    </row>
    <row r="97" spans="1:10" x14ac:dyDescent="0.3">
      <c r="A97" s="3">
        <v>450</v>
      </c>
      <c r="B97" s="3">
        <v>427.4</v>
      </c>
      <c r="C97" s="3">
        <v>421.65</v>
      </c>
      <c r="D97" s="3">
        <v>414.65</v>
      </c>
      <c r="E97" s="3">
        <v>405.85</v>
      </c>
      <c r="F97" s="3">
        <v>395.25</v>
      </c>
      <c r="G97" s="3">
        <v>382.05</v>
      </c>
      <c r="H97" s="3">
        <v>366.1</v>
      </c>
      <c r="I97" s="3">
        <v>346.8</v>
      </c>
      <c r="J97" s="3">
        <v>323.85000000000002</v>
      </c>
    </row>
    <row r="98" spans="1:10" x14ac:dyDescent="0.3">
      <c r="A98" s="3">
        <v>500</v>
      </c>
      <c r="B98" s="3">
        <v>474.85</v>
      </c>
      <c r="C98" s="3">
        <v>468.55</v>
      </c>
      <c r="D98" s="3">
        <v>460.75</v>
      </c>
      <c r="E98" s="3">
        <v>450.95</v>
      </c>
      <c r="F98" s="3">
        <v>439.05</v>
      </c>
      <c r="G98" s="3">
        <v>424.4</v>
      </c>
      <c r="H98" s="3">
        <v>406.85</v>
      </c>
      <c r="I98" s="3">
        <v>385.55</v>
      </c>
    </row>
    <row r="99" spans="1:10" x14ac:dyDescent="0.3">
      <c r="A99" s="3">
        <v>560</v>
      </c>
      <c r="B99" s="3">
        <v>531.85</v>
      </c>
      <c r="C99" s="3">
        <v>523.15</v>
      </c>
      <c r="D99" s="3">
        <v>516.04999999999995</v>
      </c>
      <c r="E99" s="3">
        <v>505.15</v>
      </c>
      <c r="F99" s="3">
        <v>491.85</v>
      </c>
      <c r="G99" s="3">
        <v>475.45</v>
      </c>
      <c r="H99" s="3">
        <v>455.8</v>
      </c>
      <c r="I99" s="3">
        <v>431.8</v>
      </c>
    </row>
    <row r="100" spans="1:10" x14ac:dyDescent="0.3">
      <c r="A100" s="3">
        <v>630</v>
      </c>
      <c r="B100" s="3">
        <v>598.35</v>
      </c>
      <c r="C100" s="3">
        <v>590.35</v>
      </c>
      <c r="D100" s="3">
        <v>580.5</v>
      </c>
      <c r="E100" s="3">
        <v>568.45000000000005</v>
      </c>
      <c r="F100" s="3">
        <v>553.25</v>
      </c>
      <c r="G100" s="3">
        <v>535</v>
      </c>
      <c r="H100" s="3">
        <v>512.65</v>
      </c>
      <c r="I100" s="3">
        <v>485.8</v>
      </c>
    </row>
    <row r="101" spans="1:10" x14ac:dyDescent="0.3">
      <c r="A101" s="3">
        <v>710</v>
      </c>
      <c r="B101" s="3">
        <v>674.25</v>
      </c>
      <c r="C101" s="3">
        <v>665.25</v>
      </c>
      <c r="D101" s="3">
        <v>654.15</v>
      </c>
      <c r="E101" s="3">
        <v>640.45000000000005</v>
      </c>
      <c r="F101" s="3">
        <v>623.6</v>
      </c>
      <c r="G101" s="3">
        <v>602.9</v>
      </c>
      <c r="H101" s="3">
        <v>577.70000000000005</v>
      </c>
      <c r="I101" s="3">
        <v>547.35</v>
      </c>
    </row>
    <row r="102" spans="1:10" x14ac:dyDescent="0.3">
      <c r="A102" s="3">
        <v>800</v>
      </c>
      <c r="B102" s="3">
        <v>759.75</v>
      </c>
      <c r="C102" s="3">
        <v>749.7</v>
      </c>
      <c r="D102" s="3">
        <v>737.2</v>
      </c>
      <c r="E102" s="3">
        <v>721.8</v>
      </c>
      <c r="F102" s="3">
        <v>702.75</v>
      </c>
      <c r="G102" s="3">
        <v>679.4</v>
      </c>
      <c r="H102" s="3">
        <v>651.1</v>
      </c>
      <c r="I102" s="3">
        <v>616.85</v>
      </c>
    </row>
    <row r="103" spans="1:10" x14ac:dyDescent="0.3">
      <c r="A103" s="3">
        <v>900</v>
      </c>
      <c r="B103" s="3">
        <v>854.85</v>
      </c>
      <c r="C103" s="3">
        <v>843.35</v>
      </c>
      <c r="D103" s="3">
        <v>829.25</v>
      </c>
      <c r="E103" s="3">
        <v>812</v>
      </c>
      <c r="F103" s="3">
        <v>790.65</v>
      </c>
      <c r="G103" s="3">
        <v>764.2</v>
      </c>
      <c r="H103" s="3">
        <v>732.45</v>
      </c>
    </row>
    <row r="104" spans="1:10" x14ac:dyDescent="0.3">
      <c r="A104" s="3">
        <v>1000</v>
      </c>
      <c r="B104" s="3">
        <v>949.7</v>
      </c>
      <c r="C104" s="3">
        <v>937.35</v>
      </c>
      <c r="D104" s="3">
        <v>921.6</v>
      </c>
      <c r="E104" s="3">
        <v>902.15</v>
      </c>
      <c r="F104" s="3">
        <v>878.35</v>
      </c>
      <c r="G104" s="3">
        <v>851.3</v>
      </c>
      <c r="H104" s="3">
        <v>815</v>
      </c>
    </row>
    <row r="107" spans="1:10" ht="22.5" customHeight="1" x14ac:dyDescent="0.3">
      <c r="A107" s="8" t="s">
        <v>9</v>
      </c>
    </row>
    <row r="108" spans="1:10" s="2" customFormat="1" x14ac:dyDescent="0.3">
      <c r="A108" s="6" t="s">
        <v>1</v>
      </c>
      <c r="B108" s="6" t="s">
        <v>25</v>
      </c>
      <c r="C108" s="6" t="s">
        <v>26</v>
      </c>
      <c r="D108" s="6" t="s">
        <v>27</v>
      </c>
      <c r="E108" s="6" t="s">
        <v>28</v>
      </c>
      <c r="F108" s="6" t="s">
        <v>29</v>
      </c>
      <c r="G108" s="6" t="s">
        <v>30</v>
      </c>
      <c r="H108" s="6" t="s">
        <v>31</v>
      </c>
      <c r="I108" s="6" t="s">
        <v>32</v>
      </c>
      <c r="J108" s="6" t="s">
        <v>33</v>
      </c>
    </row>
    <row r="109" spans="1:10" s="2" customFormat="1" ht="28.8" x14ac:dyDescent="0.3">
      <c r="A109" s="4" t="s">
        <v>0</v>
      </c>
      <c r="B109" s="4" t="s">
        <v>9</v>
      </c>
      <c r="C109" s="4" t="s">
        <v>9</v>
      </c>
      <c r="D109" s="4" t="s">
        <v>9</v>
      </c>
      <c r="E109" s="4" t="s">
        <v>9</v>
      </c>
      <c r="F109" s="4" t="s">
        <v>9</v>
      </c>
      <c r="G109" s="4" t="s">
        <v>9</v>
      </c>
      <c r="H109" s="4" t="s">
        <v>9</v>
      </c>
      <c r="I109" s="4" t="s">
        <v>9</v>
      </c>
      <c r="J109" s="4" t="s">
        <v>9</v>
      </c>
    </row>
    <row r="110" spans="1:10" x14ac:dyDescent="0.3">
      <c r="A110" s="3">
        <v>16</v>
      </c>
      <c r="H110" s="3">
        <v>7.0000000000000007E-2</v>
      </c>
      <c r="I110" s="3">
        <v>0.09</v>
      </c>
      <c r="J110" s="3">
        <v>0.1</v>
      </c>
    </row>
    <row r="111" spans="1:10" x14ac:dyDescent="0.3">
      <c r="A111" s="3">
        <v>20</v>
      </c>
      <c r="G111" s="3">
        <v>0.09</v>
      </c>
      <c r="H111" s="3">
        <v>0.11</v>
      </c>
      <c r="I111" s="3">
        <v>0.13</v>
      </c>
      <c r="J111" s="3">
        <v>0.16</v>
      </c>
    </row>
    <row r="112" spans="1:10" x14ac:dyDescent="0.3">
      <c r="A112" s="3">
        <v>25</v>
      </c>
      <c r="F112" s="3">
        <v>0.12</v>
      </c>
      <c r="G112" s="3">
        <v>0.14000000000000001</v>
      </c>
      <c r="H112" s="3">
        <v>0.16</v>
      </c>
      <c r="I112" s="3">
        <v>0.2</v>
      </c>
      <c r="J112" s="3">
        <v>0.23</v>
      </c>
    </row>
    <row r="113" spans="1:10" x14ac:dyDescent="0.3">
      <c r="A113" s="3">
        <v>32</v>
      </c>
      <c r="D113" s="3">
        <v>0.15</v>
      </c>
      <c r="E113" s="3">
        <v>0.16</v>
      </c>
      <c r="F113" s="3">
        <v>0.18</v>
      </c>
      <c r="G113" s="3">
        <v>0.22</v>
      </c>
      <c r="H113" s="3">
        <v>0.27</v>
      </c>
      <c r="I113" s="3">
        <v>0.31</v>
      </c>
      <c r="J113" s="3">
        <v>0.37</v>
      </c>
    </row>
    <row r="114" spans="1:10" x14ac:dyDescent="0.3">
      <c r="A114" s="3">
        <v>40</v>
      </c>
      <c r="D114" s="3">
        <v>0.19</v>
      </c>
      <c r="E114" s="3">
        <v>0.23</v>
      </c>
      <c r="F114" s="3">
        <v>0.28000000000000003</v>
      </c>
      <c r="G114" s="3">
        <v>0.34</v>
      </c>
      <c r="H114" s="3">
        <v>0.41</v>
      </c>
      <c r="I114" s="3">
        <v>0.49</v>
      </c>
      <c r="J114" s="3">
        <v>0.57999999999999996</v>
      </c>
    </row>
    <row r="115" spans="1:10" x14ac:dyDescent="0.3">
      <c r="A115" s="3">
        <v>50</v>
      </c>
      <c r="B115" s="3">
        <v>0.24</v>
      </c>
      <c r="C115" s="3">
        <v>0.24</v>
      </c>
      <c r="D115" s="3">
        <v>0.28999999999999998</v>
      </c>
      <c r="E115" s="3">
        <v>0.35</v>
      </c>
      <c r="F115" s="3">
        <v>0.43</v>
      </c>
      <c r="G115" s="3">
        <v>0.52</v>
      </c>
      <c r="H115" s="3">
        <v>0.64</v>
      </c>
      <c r="I115" s="3">
        <v>0.76</v>
      </c>
      <c r="J115" s="3">
        <v>0.9</v>
      </c>
    </row>
    <row r="116" spans="1:10" x14ac:dyDescent="0.3">
      <c r="A116" s="3">
        <v>63</v>
      </c>
      <c r="B116" s="3">
        <v>0.3</v>
      </c>
      <c r="C116" s="3">
        <v>0.36</v>
      </c>
      <c r="D116" s="3">
        <v>0.47</v>
      </c>
      <c r="E116" s="3">
        <v>0.55000000000000004</v>
      </c>
      <c r="F116" s="3">
        <v>0.69</v>
      </c>
      <c r="G116" s="3">
        <v>0.84</v>
      </c>
      <c r="H116" s="3">
        <v>1.01</v>
      </c>
      <c r="I116" s="3">
        <v>1.24</v>
      </c>
      <c r="J116" s="3">
        <v>1.42</v>
      </c>
    </row>
    <row r="117" spans="1:10" x14ac:dyDescent="0.3">
      <c r="A117" s="3">
        <v>75</v>
      </c>
      <c r="B117" s="3">
        <v>0.41</v>
      </c>
      <c r="C117" s="3">
        <v>0.51</v>
      </c>
      <c r="D117" s="3">
        <v>0.64</v>
      </c>
      <c r="E117" s="3">
        <v>0.79</v>
      </c>
      <c r="F117" s="3">
        <v>0.97</v>
      </c>
      <c r="G117" s="3">
        <v>1.19</v>
      </c>
      <c r="H117" s="3">
        <v>1.41</v>
      </c>
      <c r="I117" s="3">
        <v>1.7</v>
      </c>
      <c r="J117" s="3">
        <v>2.02</v>
      </c>
    </row>
    <row r="118" spans="1:10" x14ac:dyDescent="0.3">
      <c r="A118" s="3">
        <v>90</v>
      </c>
      <c r="B118" s="3">
        <v>0.59</v>
      </c>
      <c r="C118" s="3">
        <v>0.72</v>
      </c>
      <c r="D118" s="3">
        <v>0.93</v>
      </c>
      <c r="E118" s="3">
        <v>1.1299999999999999</v>
      </c>
      <c r="F118" s="3">
        <v>1.4</v>
      </c>
      <c r="G118" s="3">
        <v>1.7</v>
      </c>
      <c r="H118" s="3">
        <v>2.04</v>
      </c>
      <c r="I118" s="3">
        <v>2.46</v>
      </c>
      <c r="J118" s="3">
        <v>2.9</v>
      </c>
    </row>
    <row r="119" spans="1:10" x14ac:dyDescent="0.3">
      <c r="A119" s="3">
        <v>110</v>
      </c>
      <c r="B119" s="3">
        <v>0.89</v>
      </c>
      <c r="C119" s="3">
        <v>1.08</v>
      </c>
      <c r="D119" s="3">
        <v>1.36</v>
      </c>
      <c r="E119" s="3">
        <v>1.7</v>
      </c>
      <c r="F119" s="3">
        <v>2.08</v>
      </c>
      <c r="G119" s="3">
        <v>2.52</v>
      </c>
      <c r="H119" s="3">
        <v>3.04</v>
      </c>
      <c r="I119" s="3">
        <v>3.65</v>
      </c>
      <c r="J119" s="3">
        <v>4.3499999999999996</v>
      </c>
    </row>
    <row r="120" spans="1:10" x14ac:dyDescent="0.3">
      <c r="A120" s="3">
        <v>125</v>
      </c>
      <c r="B120" s="3">
        <v>1.1299999999999999</v>
      </c>
      <c r="C120" s="3">
        <v>1.42</v>
      </c>
      <c r="D120" s="3">
        <v>1.76</v>
      </c>
      <c r="E120" s="3">
        <v>2.1800000000000002</v>
      </c>
      <c r="F120" s="3">
        <v>2.65</v>
      </c>
      <c r="G120" s="3">
        <v>3.25</v>
      </c>
      <c r="H120" s="3">
        <v>3.94</v>
      </c>
      <c r="I120" s="3">
        <v>4.72</v>
      </c>
      <c r="J120" s="3">
        <v>5.6</v>
      </c>
    </row>
    <row r="121" spans="1:10" x14ac:dyDescent="0.3">
      <c r="A121" s="3">
        <v>140</v>
      </c>
      <c r="B121" s="3">
        <v>1.43</v>
      </c>
      <c r="C121" s="3">
        <v>1.76</v>
      </c>
      <c r="D121" s="3">
        <v>2.2200000000000002</v>
      </c>
      <c r="E121" s="3">
        <v>2.72</v>
      </c>
      <c r="F121" s="3">
        <v>3.33</v>
      </c>
      <c r="G121" s="3">
        <v>4.07</v>
      </c>
      <c r="H121" s="3">
        <v>4.91</v>
      </c>
      <c r="I121" s="3">
        <v>5.92</v>
      </c>
      <c r="J121" s="3">
        <v>7.04</v>
      </c>
    </row>
    <row r="122" spans="1:10" x14ac:dyDescent="0.3">
      <c r="A122" s="3">
        <v>160</v>
      </c>
      <c r="B122" s="3">
        <v>1.86</v>
      </c>
      <c r="C122" s="3">
        <v>2.2799999999999998</v>
      </c>
      <c r="D122" s="3">
        <v>2.92</v>
      </c>
      <c r="E122" s="3">
        <v>3.57</v>
      </c>
      <c r="F122" s="3">
        <v>4.3499999999999996</v>
      </c>
      <c r="G122" s="3">
        <v>5.32</v>
      </c>
      <c r="H122" s="3">
        <v>6.45</v>
      </c>
      <c r="I122" s="3">
        <v>7.69</v>
      </c>
      <c r="J122" s="3">
        <v>9.17</v>
      </c>
    </row>
    <row r="123" spans="1:10" x14ac:dyDescent="0.3">
      <c r="A123" s="3">
        <v>180</v>
      </c>
      <c r="B123" s="3">
        <v>2.35</v>
      </c>
      <c r="C123" s="3">
        <v>2.92</v>
      </c>
      <c r="D123" s="3">
        <v>3.64</v>
      </c>
      <c r="E123" s="3">
        <v>4.49</v>
      </c>
      <c r="F123" s="3">
        <v>5.51</v>
      </c>
      <c r="G123" s="3">
        <v>6.75</v>
      </c>
      <c r="H123" s="3">
        <v>8.15</v>
      </c>
      <c r="I123" s="3">
        <v>9.76</v>
      </c>
      <c r="J123" s="3">
        <v>11.59</v>
      </c>
    </row>
    <row r="124" spans="1:10" x14ac:dyDescent="0.3">
      <c r="A124" s="3">
        <v>200</v>
      </c>
      <c r="B124" s="3">
        <v>2.92</v>
      </c>
      <c r="C124" s="3">
        <v>3.61</v>
      </c>
      <c r="D124" s="3">
        <v>4.51</v>
      </c>
      <c r="E124" s="3">
        <v>5.57</v>
      </c>
      <c r="F124" s="3">
        <v>6.81</v>
      </c>
      <c r="G124" s="3">
        <v>8.2799999999999994</v>
      </c>
      <c r="H124" s="3">
        <v>10.050000000000001</v>
      </c>
      <c r="I124" s="3">
        <v>12.07</v>
      </c>
      <c r="J124" s="3">
        <v>14.34</v>
      </c>
    </row>
    <row r="125" spans="1:10" x14ac:dyDescent="0.3">
      <c r="A125" s="3">
        <v>225</v>
      </c>
      <c r="B125" s="3">
        <v>3.68</v>
      </c>
      <c r="C125" s="3">
        <v>4.53</v>
      </c>
      <c r="D125" s="3">
        <v>5.67</v>
      </c>
      <c r="E125" s="3">
        <v>7.04</v>
      </c>
      <c r="F125" s="3">
        <v>8.6300000000000008</v>
      </c>
      <c r="G125" s="3">
        <v>10.51</v>
      </c>
      <c r="H125" s="3">
        <v>12.75</v>
      </c>
      <c r="I125" s="3">
        <v>15.28</v>
      </c>
      <c r="J125" s="3">
        <v>18.12</v>
      </c>
    </row>
    <row r="126" spans="1:10" x14ac:dyDescent="0.3">
      <c r="A126" s="3">
        <v>250</v>
      </c>
      <c r="B126" s="3">
        <v>4.54</v>
      </c>
      <c r="C126" s="3">
        <v>5.6</v>
      </c>
      <c r="D126" s="3">
        <v>7.03</v>
      </c>
      <c r="E126" s="3">
        <v>8.6199999999999992</v>
      </c>
      <c r="F126" s="3">
        <v>10.58</v>
      </c>
      <c r="G126" s="3">
        <v>12.95</v>
      </c>
      <c r="H126" s="3">
        <v>15.66</v>
      </c>
      <c r="I126" s="3">
        <v>18.79</v>
      </c>
      <c r="J126" s="3">
        <v>22.37</v>
      </c>
    </row>
    <row r="127" spans="1:10" x14ac:dyDescent="0.3">
      <c r="A127" s="3">
        <v>280</v>
      </c>
      <c r="B127" s="3">
        <v>5.67</v>
      </c>
      <c r="C127" s="3">
        <v>7.04</v>
      </c>
      <c r="D127" s="3">
        <v>8.7799999999999994</v>
      </c>
      <c r="E127" s="3">
        <v>10.88</v>
      </c>
      <c r="F127" s="3">
        <v>13.3</v>
      </c>
      <c r="G127" s="3">
        <v>16.239999999999998</v>
      </c>
      <c r="H127" s="3">
        <v>19.64</v>
      </c>
      <c r="I127" s="3">
        <v>23.58</v>
      </c>
      <c r="J127" s="3">
        <v>28.05</v>
      </c>
    </row>
    <row r="128" spans="1:10" x14ac:dyDescent="0.3">
      <c r="A128" s="3">
        <v>315</v>
      </c>
      <c r="B128" s="3">
        <v>7.22</v>
      </c>
      <c r="C128" s="3">
        <v>9.02</v>
      </c>
      <c r="D128" s="3">
        <v>11.17</v>
      </c>
      <c r="E128" s="3">
        <v>13.68</v>
      </c>
      <c r="F128" s="3">
        <v>16.84</v>
      </c>
      <c r="G128" s="3">
        <v>20.57</v>
      </c>
      <c r="H128" s="3">
        <v>24.86</v>
      </c>
      <c r="I128" s="3">
        <v>29.88</v>
      </c>
      <c r="J128" s="3">
        <v>35.51</v>
      </c>
    </row>
    <row r="129" spans="1:10" x14ac:dyDescent="0.3">
      <c r="A129" s="3">
        <v>355</v>
      </c>
      <c r="B129" s="3">
        <v>9.19</v>
      </c>
      <c r="C129" s="3">
        <v>11.42</v>
      </c>
      <c r="D129" s="3">
        <v>14.13</v>
      </c>
      <c r="E129" s="3">
        <v>17.37</v>
      </c>
      <c r="F129" s="3">
        <v>21.43</v>
      </c>
      <c r="G129" s="3">
        <v>26.09</v>
      </c>
      <c r="H129" s="3">
        <v>31.56</v>
      </c>
      <c r="I129" s="3">
        <v>37.96</v>
      </c>
      <c r="J129" s="3">
        <v>45.04</v>
      </c>
    </row>
    <row r="130" spans="1:10" x14ac:dyDescent="0.3">
      <c r="A130" s="3">
        <v>400</v>
      </c>
      <c r="B130" s="3">
        <v>11.65</v>
      </c>
      <c r="C130" s="3">
        <v>14.53</v>
      </c>
      <c r="D130" s="3">
        <v>17.920000000000002</v>
      </c>
      <c r="E130" s="3">
        <v>22.14</v>
      </c>
      <c r="F130" s="3">
        <v>27.1</v>
      </c>
      <c r="G130" s="3">
        <v>33.1</v>
      </c>
      <c r="H130" s="3">
        <v>40.07</v>
      </c>
      <c r="I130" s="3">
        <v>48.22</v>
      </c>
      <c r="J130" s="3">
        <v>57.22</v>
      </c>
    </row>
    <row r="131" spans="1:10" x14ac:dyDescent="0.3">
      <c r="A131" s="3">
        <v>450</v>
      </c>
      <c r="B131" s="3">
        <v>14.7</v>
      </c>
      <c r="C131" s="3">
        <v>18.32</v>
      </c>
      <c r="D131" s="3">
        <v>22.66</v>
      </c>
      <c r="E131" s="3">
        <v>28.01</v>
      </c>
      <c r="F131" s="3">
        <v>34.31</v>
      </c>
      <c r="G131" s="3">
        <v>41.92</v>
      </c>
      <c r="H131" s="3">
        <v>50.77</v>
      </c>
      <c r="I131" s="3">
        <v>60.97</v>
      </c>
      <c r="J131" s="3">
        <v>72.38</v>
      </c>
    </row>
    <row r="132" spans="1:10" x14ac:dyDescent="0.3">
      <c r="A132" s="3">
        <v>500</v>
      </c>
      <c r="B132" s="3">
        <v>18.18</v>
      </c>
      <c r="C132" s="3">
        <v>22.58</v>
      </c>
      <c r="D132" s="3">
        <v>27.96</v>
      </c>
      <c r="E132" s="3">
        <v>34.58</v>
      </c>
      <c r="F132" s="3">
        <v>42.44</v>
      </c>
      <c r="G132" s="3">
        <v>51.81</v>
      </c>
      <c r="H132" s="3">
        <v>62.63</v>
      </c>
      <c r="I132" s="3">
        <v>75.14</v>
      </c>
    </row>
    <row r="133" spans="1:10" x14ac:dyDescent="0.3">
      <c r="A133" s="3">
        <v>560</v>
      </c>
      <c r="B133" s="3">
        <v>22.79</v>
      </c>
      <c r="C133" s="3">
        <v>29.59</v>
      </c>
      <c r="D133" s="3">
        <v>35.06</v>
      </c>
      <c r="E133" s="3">
        <v>43.32</v>
      </c>
      <c r="F133" s="3">
        <v>53.15</v>
      </c>
      <c r="G133" s="3">
        <v>64.91</v>
      </c>
      <c r="H133" s="3">
        <v>78.48</v>
      </c>
      <c r="I133" s="3">
        <v>94.27</v>
      </c>
    </row>
    <row r="134" spans="1:10" x14ac:dyDescent="0.3">
      <c r="A134" s="3">
        <v>630</v>
      </c>
      <c r="B134" s="3">
        <v>28.82</v>
      </c>
      <c r="C134" s="3">
        <v>35.869999999999997</v>
      </c>
      <c r="D134" s="3">
        <v>44.43</v>
      </c>
      <c r="E134" s="3">
        <v>54.69</v>
      </c>
      <c r="F134" s="3">
        <v>67.33</v>
      </c>
      <c r="G134" s="3">
        <v>82.06</v>
      </c>
      <c r="H134" s="3">
        <v>99.42</v>
      </c>
      <c r="I134" s="3">
        <v>119.29</v>
      </c>
    </row>
    <row r="135" spans="1:10" x14ac:dyDescent="0.3">
      <c r="A135" s="3">
        <v>710</v>
      </c>
      <c r="B135" s="3">
        <v>36.69</v>
      </c>
      <c r="C135" s="3">
        <v>45.63</v>
      </c>
      <c r="D135" s="3">
        <v>56.49</v>
      </c>
      <c r="E135" s="3">
        <v>69.64</v>
      </c>
      <c r="F135" s="3">
        <v>85.43</v>
      </c>
      <c r="G135" s="3">
        <v>104.25</v>
      </c>
      <c r="H135" s="3">
        <v>126.31</v>
      </c>
      <c r="I135" s="3">
        <v>151.63</v>
      </c>
    </row>
    <row r="136" spans="1:10" x14ac:dyDescent="0.3">
      <c r="A136" s="3">
        <v>800</v>
      </c>
      <c r="B136" s="3">
        <v>46.55</v>
      </c>
      <c r="C136" s="3">
        <v>57.79</v>
      </c>
      <c r="D136" s="3">
        <v>71.569999999999993</v>
      </c>
      <c r="E136" s="3">
        <v>88.23</v>
      </c>
      <c r="F136" s="3">
        <v>108.35</v>
      </c>
      <c r="G136" s="3">
        <v>132.28</v>
      </c>
      <c r="H136" s="3">
        <v>160.19999999999999</v>
      </c>
      <c r="I136" s="3">
        <v>192.39</v>
      </c>
    </row>
    <row r="137" spans="1:10" x14ac:dyDescent="0.3">
      <c r="A137" s="3">
        <v>900</v>
      </c>
      <c r="B137" s="3">
        <v>58.74</v>
      </c>
      <c r="C137" s="3">
        <v>73.22</v>
      </c>
      <c r="D137" s="3">
        <v>90.71</v>
      </c>
      <c r="E137" s="3">
        <v>111.7</v>
      </c>
      <c r="F137" s="3">
        <v>137.07</v>
      </c>
      <c r="G137" s="3">
        <v>167.56</v>
      </c>
      <c r="H137" s="3">
        <v>202.79</v>
      </c>
    </row>
    <row r="138" spans="1:10" x14ac:dyDescent="0.3">
      <c r="A138" s="3">
        <v>1000</v>
      </c>
      <c r="B138" s="3">
        <v>72.709999999999994</v>
      </c>
      <c r="C138" s="3">
        <v>89.99</v>
      </c>
      <c r="D138" s="3">
        <v>111.7</v>
      </c>
      <c r="E138" s="3">
        <v>138</v>
      </c>
      <c r="F138" s="3">
        <v>169.41</v>
      </c>
      <c r="G138" s="3">
        <v>204.1</v>
      </c>
      <c r="H138" s="3">
        <v>248.95</v>
      </c>
    </row>
    <row r="141" spans="1:10" ht="28.8" x14ac:dyDescent="0.3">
      <c r="A141" s="4" t="s">
        <v>0</v>
      </c>
      <c r="B141" s="4" t="s">
        <v>17</v>
      </c>
      <c r="C141" s="4" t="s">
        <v>18</v>
      </c>
      <c r="D141" s="4" t="s">
        <v>24</v>
      </c>
      <c r="E141" s="4" t="s">
        <v>23</v>
      </c>
    </row>
    <row r="142" spans="1:10" x14ac:dyDescent="0.3">
      <c r="A142" s="3">
        <v>16</v>
      </c>
      <c r="B142" s="3">
        <v>16</v>
      </c>
      <c r="C142" s="3">
        <v>16.3</v>
      </c>
      <c r="D142" s="3">
        <v>15.55</v>
      </c>
      <c r="E142" s="3">
        <v>16.75</v>
      </c>
    </row>
    <row r="143" spans="1:10" x14ac:dyDescent="0.3">
      <c r="A143" s="3">
        <v>20</v>
      </c>
      <c r="B143" s="3">
        <v>20</v>
      </c>
      <c r="C143" s="3">
        <v>20.3</v>
      </c>
      <c r="D143" s="3">
        <v>19.399999999999999</v>
      </c>
      <c r="E143" s="3">
        <v>20.6</v>
      </c>
    </row>
    <row r="144" spans="1:10" x14ac:dyDescent="0.3">
      <c r="A144" s="3">
        <v>25</v>
      </c>
      <c r="B144" s="3">
        <v>25</v>
      </c>
      <c r="C144" s="3">
        <v>25.3</v>
      </c>
      <c r="D144" s="3">
        <v>24.4</v>
      </c>
      <c r="E144" s="3">
        <v>25.6</v>
      </c>
    </row>
    <row r="145" spans="1:5" x14ac:dyDescent="0.3">
      <c r="A145" s="3">
        <v>32</v>
      </c>
      <c r="B145" s="3">
        <v>32</v>
      </c>
      <c r="C145" s="3">
        <v>32.299999999999997</v>
      </c>
      <c r="D145" s="3">
        <v>31.4</v>
      </c>
      <c r="E145" s="3">
        <v>32.700000000000003</v>
      </c>
    </row>
    <row r="146" spans="1:5" x14ac:dyDescent="0.3">
      <c r="A146" s="3">
        <v>40</v>
      </c>
      <c r="B146" s="3">
        <v>40</v>
      </c>
      <c r="C146" s="3">
        <v>40.4</v>
      </c>
      <c r="D146" s="3">
        <v>39.299999999999997</v>
      </c>
      <c r="E146" s="3">
        <v>40.700000000000003</v>
      </c>
    </row>
    <row r="147" spans="1:5" x14ac:dyDescent="0.3">
      <c r="A147" s="3">
        <v>50</v>
      </c>
      <c r="B147" s="3">
        <v>50</v>
      </c>
      <c r="C147" s="3">
        <v>50.5</v>
      </c>
      <c r="D147" s="3">
        <v>49.3</v>
      </c>
      <c r="E147" s="3">
        <v>50.7</v>
      </c>
    </row>
    <row r="148" spans="1:5" x14ac:dyDescent="0.3">
      <c r="A148" s="3">
        <v>63</v>
      </c>
      <c r="B148" s="3">
        <v>63</v>
      </c>
      <c r="C148" s="3">
        <v>63.4</v>
      </c>
      <c r="D148" s="3">
        <v>62.2</v>
      </c>
      <c r="E148" s="3">
        <v>63.8</v>
      </c>
    </row>
    <row r="149" spans="1:5" x14ac:dyDescent="0.3">
      <c r="A149" s="3">
        <v>75</v>
      </c>
      <c r="B149" s="3">
        <v>75</v>
      </c>
      <c r="C149" s="3">
        <v>75.5</v>
      </c>
      <c r="D149" s="3">
        <v>74.2</v>
      </c>
      <c r="E149" s="3">
        <v>75.8</v>
      </c>
    </row>
    <row r="150" spans="1:5" x14ac:dyDescent="0.3">
      <c r="A150" s="3">
        <v>90</v>
      </c>
      <c r="B150" s="3">
        <v>90</v>
      </c>
      <c r="C150" s="3">
        <v>90.6</v>
      </c>
      <c r="D150" s="3">
        <v>89.1</v>
      </c>
      <c r="E150" s="3">
        <v>90.9</v>
      </c>
    </row>
    <row r="151" spans="1:5" x14ac:dyDescent="0.3">
      <c r="A151" s="3">
        <v>110</v>
      </c>
      <c r="B151" s="3">
        <v>110</v>
      </c>
      <c r="C151" s="3">
        <v>110.7</v>
      </c>
      <c r="D151" s="3">
        <v>108.8</v>
      </c>
      <c r="E151" s="3">
        <v>111.1</v>
      </c>
    </row>
    <row r="152" spans="1:5" x14ac:dyDescent="0.3">
      <c r="A152" s="3">
        <v>125</v>
      </c>
      <c r="B152" s="3">
        <v>125</v>
      </c>
      <c r="C152" s="3">
        <v>125.8</v>
      </c>
      <c r="D152" s="3">
        <v>123.8</v>
      </c>
      <c r="E152" s="3">
        <v>126.3</v>
      </c>
    </row>
    <row r="153" spans="1:5" x14ac:dyDescent="0.3">
      <c r="A153" s="3">
        <v>140</v>
      </c>
      <c r="B153" s="3">
        <v>140</v>
      </c>
      <c r="C153" s="3">
        <v>140.9</v>
      </c>
      <c r="D153" s="3">
        <v>138.6</v>
      </c>
      <c r="E153" s="3">
        <v>141.4</v>
      </c>
    </row>
    <row r="154" spans="1:5" x14ac:dyDescent="0.3">
      <c r="A154" s="3">
        <v>160</v>
      </c>
      <c r="B154" s="3">
        <v>160</v>
      </c>
      <c r="C154" s="3">
        <v>161</v>
      </c>
      <c r="D154" s="3">
        <v>158.4</v>
      </c>
      <c r="E154" s="3">
        <v>161.6</v>
      </c>
    </row>
    <row r="155" spans="1:5" x14ac:dyDescent="0.3">
      <c r="A155" s="3">
        <v>180</v>
      </c>
      <c r="B155" s="3">
        <v>180</v>
      </c>
      <c r="C155" s="3">
        <v>181.1</v>
      </c>
      <c r="D155" s="3">
        <v>178.2</v>
      </c>
      <c r="E155" s="3">
        <v>181.8</v>
      </c>
    </row>
    <row r="156" spans="1:5" x14ac:dyDescent="0.3">
      <c r="A156" s="3">
        <v>200</v>
      </c>
      <c r="B156" s="3">
        <v>200</v>
      </c>
      <c r="C156" s="3">
        <v>201.2</v>
      </c>
      <c r="D156" s="3">
        <v>198</v>
      </c>
      <c r="E156" s="3">
        <v>202</v>
      </c>
    </row>
    <row r="157" spans="1:5" x14ac:dyDescent="0.3">
      <c r="A157" s="3">
        <v>225</v>
      </c>
      <c r="B157" s="3">
        <v>225</v>
      </c>
      <c r="C157" s="3">
        <v>226.4</v>
      </c>
      <c r="D157" s="3">
        <v>222.8</v>
      </c>
      <c r="E157" s="3">
        <v>227.3</v>
      </c>
    </row>
    <row r="158" spans="1:5" x14ac:dyDescent="0.3">
      <c r="A158" s="3">
        <v>250</v>
      </c>
      <c r="B158" s="3">
        <v>250</v>
      </c>
      <c r="C158" s="3">
        <v>251.5</v>
      </c>
      <c r="D158" s="3">
        <v>247.5</v>
      </c>
      <c r="E158" s="3">
        <v>252.5</v>
      </c>
    </row>
    <row r="159" spans="1:5" x14ac:dyDescent="0.3">
      <c r="A159" s="3">
        <v>280</v>
      </c>
      <c r="B159" s="3">
        <v>280</v>
      </c>
      <c r="C159" s="3">
        <v>281.7</v>
      </c>
      <c r="D159" s="3">
        <v>275.10000000000002</v>
      </c>
      <c r="E159" s="3">
        <v>284.89999999999998</v>
      </c>
    </row>
    <row r="160" spans="1:5" x14ac:dyDescent="0.3">
      <c r="A160" s="3">
        <v>315</v>
      </c>
      <c r="B160" s="3">
        <v>315</v>
      </c>
      <c r="C160" s="3">
        <v>316.89999999999998</v>
      </c>
      <c r="D160" s="3">
        <v>309.5</v>
      </c>
      <c r="E160" s="3">
        <v>320.60000000000002</v>
      </c>
    </row>
    <row r="161" spans="1:5" x14ac:dyDescent="0.3">
      <c r="A161" s="3">
        <v>355</v>
      </c>
      <c r="B161" s="3">
        <v>355</v>
      </c>
      <c r="C161" s="3">
        <v>357.2</v>
      </c>
      <c r="D161" s="3">
        <v>348.8</v>
      </c>
      <c r="E161" s="3">
        <v>361.3</v>
      </c>
    </row>
    <row r="162" spans="1:5" x14ac:dyDescent="0.3">
      <c r="A162" s="3">
        <v>400</v>
      </c>
      <c r="B162" s="3">
        <v>400</v>
      </c>
      <c r="C162" s="3">
        <v>402.4</v>
      </c>
      <c r="D162" s="3">
        <v>393</v>
      </c>
      <c r="E162" s="3">
        <v>407</v>
      </c>
    </row>
    <row r="163" spans="1:5" x14ac:dyDescent="0.3">
      <c r="A163" s="3">
        <v>450</v>
      </c>
      <c r="B163" s="3">
        <v>450</v>
      </c>
      <c r="C163" s="3">
        <v>452.7</v>
      </c>
      <c r="D163" s="3">
        <v>442.1</v>
      </c>
      <c r="E163" s="3">
        <v>457.9</v>
      </c>
    </row>
    <row r="164" spans="1:5" x14ac:dyDescent="0.3">
      <c r="A164" s="3">
        <v>500</v>
      </c>
      <c r="B164" s="3">
        <v>500</v>
      </c>
      <c r="C164" s="3">
        <v>503</v>
      </c>
      <c r="D164" s="3">
        <v>491.3</v>
      </c>
      <c r="E164" s="3">
        <v>508.8</v>
      </c>
    </row>
    <row r="165" spans="1:5" x14ac:dyDescent="0.3">
      <c r="A165" s="3">
        <v>560</v>
      </c>
      <c r="B165" s="3">
        <v>560</v>
      </c>
      <c r="C165" s="3">
        <v>563.4</v>
      </c>
      <c r="D165" s="3">
        <v>550.20000000000005</v>
      </c>
      <c r="E165" s="3">
        <v>569.79999999999995</v>
      </c>
    </row>
    <row r="166" spans="1:5" x14ac:dyDescent="0.3">
      <c r="A166" s="3">
        <v>630</v>
      </c>
      <c r="B166" s="3">
        <v>630</v>
      </c>
      <c r="C166" s="3">
        <v>633.79999999999995</v>
      </c>
      <c r="D166" s="3">
        <v>619</v>
      </c>
      <c r="E166" s="3">
        <v>641.1</v>
      </c>
    </row>
    <row r="167" spans="1:5" x14ac:dyDescent="0.3">
      <c r="A167" s="3">
        <v>710</v>
      </c>
      <c r="B167" s="3">
        <v>710</v>
      </c>
      <c r="C167" s="3">
        <v>716.4</v>
      </c>
      <c r="D167" s="3" t="s">
        <v>10</v>
      </c>
      <c r="E167" s="3" t="s">
        <v>10</v>
      </c>
    </row>
    <row r="168" spans="1:5" x14ac:dyDescent="0.3">
      <c r="A168" s="3">
        <v>800</v>
      </c>
      <c r="B168" s="3">
        <v>800</v>
      </c>
      <c r="C168" s="3">
        <v>807.2</v>
      </c>
      <c r="D168" s="3" t="s">
        <v>10</v>
      </c>
      <c r="E168" s="3" t="s">
        <v>10</v>
      </c>
    </row>
    <row r="169" spans="1:5" x14ac:dyDescent="0.3">
      <c r="A169" s="3">
        <v>900</v>
      </c>
      <c r="B169" s="3">
        <v>900</v>
      </c>
      <c r="C169" s="3">
        <v>908.1</v>
      </c>
      <c r="D169" s="3" t="s">
        <v>10</v>
      </c>
      <c r="E169" s="3" t="s">
        <v>10</v>
      </c>
    </row>
    <row r="170" spans="1:5" x14ac:dyDescent="0.3">
      <c r="A170" s="3">
        <v>1000</v>
      </c>
      <c r="B170" s="3">
        <v>1000</v>
      </c>
      <c r="C170" s="3">
        <v>1009</v>
      </c>
      <c r="D170" s="3" t="s">
        <v>10</v>
      </c>
      <c r="E170" s="3" t="s">
        <v>10</v>
      </c>
    </row>
    <row r="174" spans="1:5" x14ac:dyDescent="0.3">
      <c r="A174" s="4" t="s">
        <v>1</v>
      </c>
      <c r="B174" s="4" t="s">
        <v>34</v>
      </c>
    </row>
    <row r="175" spans="1:5" x14ac:dyDescent="0.3">
      <c r="A175" s="3" t="s">
        <v>25</v>
      </c>
      <c r="B175" s="3" t="s">
        <v>35</v>
      </c>
    </row>
    <row r="176" spans="1:5" x14ac:dyDescent="0.3">
      <c r="A176" s="3" t="s">
        <v>26</v>
      </c>
      <c r="B176" s="3" t="s">
        <v>36</v>
      </c>
    </row>
    <row r="177" spans="1:2" x14ac:dyDescent="0.3">
      <c r="A177" s="3" t="s">
        <v>27</v>
      </c>
      <c r="B177" s="3" t="s">
        <v>37</v>
      </c>
    </row>
    <row r="178" spans="1:2" x14ac:dyDescent="0.3">
      <c r="A178" s="3" t="s">
        <v>28</v>
      </c>
      <c r="B178" s="3" t="s">
        <v>38</v>
      </c>
    </row>
    <row r="179" spans="1:2" x14ac:dyDescent="0.3">
      <c r="A179" s="3" t="s">
        <v>29</v>
      </c>
      <c r="B179" s="3" t="s">
        <v>39</v>
      </c>
    </row>
    <row r="180" spans="1:2" x14ac:dyDescent="0.3">
      <c r="A180" s="3" t="s">
        <v>30</v>
      </c>
      <c r="B180" s="3" t="s">
        <v>40</v>
      </c>
    </row>
    <row r="181" spans="1:2" x14ac:dyDescent="0.3">
      <c r="A181" s="3" t="s">
        <v>31</v>
      </c>
      <c r="B181" s="3" t="s">
        <v>41</v>
      </c>
    </row>
    <row r="182" spans="1:2" x14ac:dyDescent="0.3">
      <c r="A182" s="3" t="s">
        <v>32</v>
      </c>
      <c r="B182" s="3" t="s">
        <v>42</v>
      </c>
    </row>
    <row r="183" spans="1:2" x14ac:dyDescent="0.3">
      <c r="A183" s="3" t="s">
        <v>33</v>
      </c>
      <c r="B183" s="3" t="s">
        <v>43</v>
      </c>
    </row>
  </sheetData>
  <mergeCells count="1">
    <mergeCell ref="A1:C3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opLeftCell="V1" zoomScale="85" zoomScaleNormal="85" workbookViewId="0">
      <selection activeCell="P43" sqref="P43:T43"/>
    </sheetView>
  </sheetViews>
  <sheetFormatPr defaultColWidth="14.109375" defaultRowHeight="14.4" x14ac:dyDescent="0.3"/>
  <cols>
    <col min="1" max="1" width="10.6640625" style="3" customWidth="1"/>
    <col min="2" max="41" width="14.109375" style="3"/>
    <col min="42" max="16384" width="14.109375" style="1"/>
  </cols>
  <sheetData>
    <row r="1" spans="1:41" ht="14.55" customHeight="1" x14ac:dyDescent="0.3">
      <c r="A1" s="11" t="s">
        <v>12</v>
      </c>
      <c r="B1" s="12"/>
      <c r="C1" s="13"/>
    </row>
    <row r="2" spans="1:41" ht="14.55" customHeight="1" x14ac:dyDescent="0.3">
      <c r="A2" s="14"/>
      <c r="B2" s="15"/>
      <c r="C2" s="16"/>
    </row>
    <row r="3" spans="1:41" ht="14.55" customHeight="1" thickBot="1" x14ac:dyDescent="0.35">
      <c r="A3" s="17"/>
      <c r="B3" s="18"/>
      <c r="C3" s="19"/>
    </row>
    <row r="5" spans="1:41" s="2" customFormat="1" x14ac:dyDescent="0.3">
      <c r="A5" s="6" t="s">
        <v>1</v>
      </c>
      <c r="B5" s="6"/>
      <c r="C5" s="6"/>
      <c r="D5" s="6"/>
      <c r="E5" s="6"/>
      <c r="F5" s="6">
        <v>41</v>
      </c>
      <c r="G5" s="6">
        <v>41</v>
      </c>
      <c r="H5" s="6">
        <v>41</v>
      </c>
      <c r="I5" s="6">
        <v>41</v>
      </c>
      <c r="J5" s="6">
        <v>33</v>
      </c>
      <c r="K5" s="6">
        <v>33</v>
      </c>
      <c r="L5" s="6">
        <v>33</v>
      </c>
      <c r="M5" s="6">
        <v>33</v>
      </c>
      <c r="N5" s="6">
        <v>26</v>
      </c>
      <c r="O5" s="6">
        <v>26</v>
      </c>
      <c r="P5" s="6">
        <v>26</v>
      </c>
      <c r="Q5" s="6">
        <v>26</v>
      </c>
      <c r="R5" s="6">
        <v>21</v>
      </c>
      <c r="S5" s="6">
        <v>21</v>
      </c>
      <c r="T5" s="6">
        <v>21</v>
      </c>
      <c r="U5" s="6">
        <v>21</v>
      </c>
      <c r="V5" s="6">
        <v>17</v>
      </c>
      <c r="W5" s="6">
        <v>17</v>
      </c>
      <c r="X5" s="6">
        <v>17</v>
      </c>
      <c r="Y5" s="6">
        <v>17</v>
      </c>
      <c r="Z5" s="6">
        <v>13.6</v>
      </c>
      <c r="AA5" s="6">
        <v>13.6</v>
      </c>
      <c r="AB5" s="6">
        <v>13.6</v>
      </c>
      <c r="AC5" s="6">
        <v>13.6</v>
      </c>
      <c r="AD5" s="6">
        <v>11</v>
      </c>
      <c r="AE5" s="6">
        <v>11</v>
      </c>
      <c r="AF5" s="6">
        <v>11</v>
      </c>
      <c r="AG5" s="6">
        <v>11</v>
      </c>
      <c r="AH5" s="6">
        <v>9</v>
      </c>
      <c r="AI5" s="6">
        <v>9</v>
      </c>
      <c r="AJ5" s="6">
        <v>9</v>
      </c>
      <c r="AK5" s="6">
        <v>9</v>
      </c>
      <c r="AL5" s="6">
        <v>7.4</v>
      </c>
      <c r="AM5" s="6">
        <v>7.4</v>
      </c>
      <c r="AN5" s="6">
        <v>7.4</v>
      </c>
      <c r="AO5" s="6">
        <v>7.4</v>
      </c>
    </row>
    <row r="6" spans="1:41" s="2" customFormat="1" ht="43.2" x14ac:dyDescent="0.3">
      <c r="A6" s="4" t="s">
        <v>0</v>
      </c>
      <c r="B6" s="4" t="s">
        <v>2</v>
      </c>
      <c r="C6" s="4" t="s">
        <v>4</v>
      </c>
      <c r="D6" s="4" t="s">
        <v>3</v>
      </c>
      <c r="E6" s="4" t="s">
        <v>5</v>
      </c>
      <c r="F6" s="4" t="s">
        <v>6</v>
      </c>
      <c r="G6" s="4" t="s">
        <v>7</v>
      </c>
      <c r="H6" s="5" t="s">
        <v>8</v>
      </c>
      <c r="I6" s="4" t="s">
        <v>9</v>
      </c>
      <c r="J6" s="4" t="s">
        <v>6</v>
      </c>
      <c r="K6" s="4" t="s">
        <v>7</v>
      </c>
      <c r="L6" s="5" t="s">
        <v>8</v>
      </c>
      <c r="M6" s="4" t="s">
        <v>9</v>
      </c>
      <c r="N6" s="4" t="s">
        <v>6</v>
      </c>
      <c r="O6" s="4" t="s">
        <v>7</v>
      </c>
      <c r="P6" s="5" t="s">
        <v>8</v>
      </c>
      <c r="Q6" s="4" t="s">
        <v>9</v>
      </c>
      <c r="R6" s="4" t="s">
        <v>6</v>
      </c>
      <c r="S6" s="4" t="s">
        <v>7</v>
      </c>
      <c r="T6" s="5" t="s">
        <v>8</v>
      </c>
      <c r="U6" s="4" t="s">
        <v>9</v>
      </c>
      <c r="V6" s="4" t="s">
        <v>6</v>
      </c>
      <c r="W6" s="4" t="s">
        <v>7</v>
      </c>
      <c r="X6" s="5" t="s">
        <v>8</v>
      </c>
      <c r="Y6" s="4" t="s">
        <v>9</v>
      </c>
      <c r="Z6" s="4" t="s">
        <v>6</v>
      </c>
      <c r="AA6" s="4" t="s">
        <v>7</v>
      </c>
      <c r="AB6" s="5" t="s">
        <v>8</v>
      </c>
      <c r="AC6" s="4" t="s">
        <v>9</v>
      </c>
      <c r="AD6" s="4" t="s">
        <v>6</v>
      </c>
      <c r="AE6" s="4" t="s">
        <v>7</v>
      </c>
      <c r="AF6" s="5" t="s">
        <v>8</v>
      </c>
      <c r="AG6" s="4" t="s">
        <v>9</v>
      </c>
      <c r="AH6" s="4" t="s">
        <v>6</v>
      </c>
      <c r="AI6" s="4" t="s">
        <v>7</v>
      </c>
      <c r="AJ6" s="5" t="s">
        <v>8</v>
      </c>
      <c r="AK6" s="4" t="s">
        <v>9</v>
      </c>
      <c r="AL6" s="4" t="s">
        <v>6</v>
      </c>
      <c r="AM6" s="4" t="s">
        <v>7</v>
      </c>
      <c r="AN6" s="5" t="s">
        <v>8</v>
      </c>
      <c r="AO6" s="4" t="s">
        <v>9</v>
      </c>
    </row>
    <row r="7" spans="1:41" x14ac:dyDescent="0.3">
      <c r="A7" s="3">
        <v>16</v>
      </c>
      <c r="B7" s="3">
        <v>16</v>
      </c>
      <c r="C7" s="3">
        <v>16.3</v>
      </c>
      <c r="D7" s="3">
        <v>15.55</v>
      </c>
      <c r="E7" s="3">
        <v>16.75</v>
      </c>
      <c r="AD7" s="3">
        <v>1.6</v>
      </c>
      <c r="AE7" s="3">
        <v>1.75</v>
      </c>
      <c r="AF7" s="3">
        <v>12.65</v>
      </c>
      <c r="AG7" s="3">
        <v>7.0000000000000007E-2</v>
      </c>
      <c r="AH7" s="3">
        <v>2</v>
      </c>
      <c r="AI7" s="3">
        <v>2.15</v>
      </c>
      <c r="AJ7" s="3">
        <v>11.85</v>
      </c>
      <c r="AK7" s="3">
        <v>0.09</v>
      </c>
      <c r="AL7" s="3">
        <v>2.2999999999999998</v>
      </c>
      <c r="AM7" s="3">
        <v>2.5</v>
      </c>
      <c r="AN7" s="3">
        <v>11.2</v>
      </c>
      <c r="AO7" s="3">
        <v>0.1</v>
      </c>
    </row>
    <row r="8" spans="1:41" x14ac:dyDescent="0.3">
      <c r="A8" s="3">
        <v>20</v>
      </c>
      <c r="B8" s="3">
        <v>20</v>
      </c>
      <c r="C8" s="3">
        <v>20.3</v>
      </c>
      <c r="D8" s="3">
        <v>19.399999999999999</v>
      </c>
      <c r="E8" s="3">
        <v>20.6</v>
      </c>
      <c r="V8" s="3" t="s">
        <v>11</v>
      </c>
      <c r="Z8" s="3">
        <v>1.6</v>
      </c>
      <c r="AA8" s="3">
        <v>1.75</v>
      </c>
      <c r="AB8" s="3">
        <v>16.649999999999999</v>
      </c>
      <c r="AC8" s="3">
        <v>0.09</v>
      </c>
      <c r="AD8" s="3">
        <v>2</v>
      </c>
      <c r="AE8" s="3">
        <v>2.15</v>
      </c>
      <c r="AF8" s="3">
        <v>15.85</v>
      </c>
      <c r="AG8" s="3">
        <v>0.11</v>
      </c>
      <c r="AH8" s="3">
        <v>2.2999999999999998</v>
      </c>
      <c r="AI8" s="3">
        <v>2.5</v>
      </c>
      <c r="AJ8" s="3">
        <v>15.2</v>
      </c>
      <c r="AK8" s="3">
        <v>0.13</v>
      </c>
      <c r="AL8" s="3">
        <v>3</v>
      </c>
      <c r="AM8" s="3">
        <v>3.2</v>
      </c>
      <c r="AN8" s="3">
        <v>13.8</v>
      </c>
      <c r="AO8" s="3">
        <v>0.16</v>
      </c>
    </row>
    <row r="9" spans="1:41" x14ac:dyDescent="0.3">
      <c r="A9" s="3">
        <v>25</v>
      </c>
      <c r="B9" s="3">
        <v>25</v>
      </c>
      <c r="C9" s="3">
        <v>25.3</v>
      </c>
      <c r="D9" s="3">
        <v>24.4</v>
      </c>
      <c r="E9" s="3">
        <v>25.6</v>
      </c>
      <c r="V9" s="3">
        <v>1.6</v>
      </c>
      <c r="W9" s="3">
        <v>1.8</v>
      </c>
      <c r="X9" s="3">
        <v>21.65</v>
      </c>
      <c r="Y9" s="3">
        <v>0.12</v>
      </c>
      <c r="Z9" s="3">
        <v>2</v>
      </c>
      <c r="AA9" s="3">
        <v>2.15</v>
      </c>
      <c r="AB9" s="3">
        <v>20.85</v>
      </c>
      <c r="AC9" s="3">
        <v>0.14000000000000001</v>
      </c>
      <c r="AD9" s="3">
        <v>2.2999999999999998</v>
      </c>
      <c r="AE9" s="3">
        <v>2.5</v>
      </c>
      <c r="AF9" s="3">
        <v>20.2</v>
      </c>
      <c r="AG9" s="3">
        <v>0.16</v>
      </c>
      <c r="AH9" s="3">
        <v>3</v>
      </c>
      <c r="AI9" s="3">
        <v>3.2</v>
      </c>
      <c r="AJ9" s="3">
        <v>18.8</v>
      </c>
      <c r="AK9" s="3">
        <v>0.2</v>
      </c>
      <c r="AL9" s="3">
        <v>3.5</v>
      </c>
      <c r="AM9" s="3">
        <v>3.75</v>
      </c>
      <c r="AN9" s="3">
        <v>17.75</v>
      </c>
      <c r="AO9" s="3">
        <v>0.23</v>
      </c>
    </row>
    <row r="10" spans="1:41" x14ac:dyDescent="0.3">
      <c r="A10" s="3">
        <v>32</v>
      </c>
      <c r="B10" s="3">
        <v>32</v>
      </c>
      <c r="C10" s="3">
        <v>32.299999999999997</v>
      </c>
      <c r="D10" s="3">
        <v>31.4</v>
      </c>
      <c r="E10" s="3">
        <v>32.700000000000003</v>
      </c>
      <c r="N10" s="3">
        <v>1.6</v>
      </c>
      <c r="O10" s="3">
        <v>1.75</v>
      </c>
      <c r="P10" s="3">
        <v>28.65</v>
      </c>
      <c r="Q10" s="3">
        <v>0.15</v>
      </c>
      <c r="R10" s="3">
        <v>1.7</v>
      </c>
      <c r="S10" s="3">
        <v>1.8</v>
      </c>
      <c r="T10" s="3">
        <v>28.5</v>
      </c>
      <c r="U10" s="3">
        <v>0.16</v>
      </c>
      <c r="V10" s="3">
        <v>2</v>
      </c>
      <c r="W10" s="3">
        <v>2.2000000000000002</v>
      </c>
      <c r="X10" s="3">
        <v>27.85</v>
      </c>
      <c r="Y10" s="3">
        <v>0.18</v>
      </c>
      <c r="Z10" s="3">
        <v>2.4</v>
      </c>
      <c r="AA10" s="3">
        <v>2.6</v>
      </c>
      <c r="AB10" s="3">
        <v>27</v>
      </c>
      <c r="AC10" s="3">
        <v>0.22</v>
      </c>
      <c r="AD10" s="3">
        <v>3</v>
      </c>
      <c r="AE10" s="3">
        <v>3.2</v>
      </c>
      <c r="AF10" s="3">
        <v>25.8</v>
      </c>
      <c r="AG10" s="3">
        <v>0.27</v>
      </c>
      <c r="AH10" s="3">
        <v>3.6</v>
      </c>
      <c r="AI10" s="3">
        <v>3.85</v>
      </c>
      <c r="AJ10" s="3">
        <v>24.55</v>
      </c>
      <c r="AK10" s="3">
        <v>0.31</v>
      </c>
      <c r="AL10" s="3">
        <v>4.4000000000000004</v>
      </c>
      <c r="AM10" s="3">
        <v>4.7</v>
      </c>
      <c r="AN10" s="3">
        <v>22.9</v>
      </c>
      <c r="AO10" s="3">
        <v>0.37</v>
      </c>
    </row>
    <row r="11" spans="1:41" x14ac:dyDescent="0.3">
      <c r="A11" s="3">
        <v>40</v>
      </c>
      <c r="B11" s="3">
        <v>40</v>
      </c>
      <c r="C11" s="3">
        <v>40.4</v>
      </c>
      <c r="D11" s="3">
        <v>39.299999999999997</v>
      </c>
      <c r="E11" s="3">
        <v>40.700000000000003</v>
      </c>
      <c r="F11" s="3" t="s">
        <v>11</v>
      </c>
      <c r="L11" s="3" t="s">
        <v>11</v>
      </c>
      <c r="N11" s="3">
        <v>1.6</v>
      </c>
      <c r="O11" s="3">
        <v>1.75</v>
      </c>
      <c r="P11" s="3">
        <v>36.65</v>
      </c>
      <c r="Q11" s="3">
        <v>0.19</v>
      </c>
      <c r="R11" s="3">
        <v>2</v>
      </c>
      <c r="S11" s="3">
        <v>2.2000000000000002</v>
      </c>
      <c r="T11" s="3">
        <v>35.85</v>
      </c>
      <c r="U11" s="3">
        <v>0.23</v>
      </c>
      <c r="V11" s="3">
        <v>2.4</v>
      </c>
      <c r="W11" s="3">
        <v>2.6</v>
      </c>
      <c r="X11" s="3">
        <v>35</v>
      </c>
      <c r="Y11" s="3">
        <v>0.28000000000000003</v>
      </c>
      <c r="Z11" s="3">
        <v>3</v>
      </c>
      <c r="AA11" s="3">
        <v>3.25</v>
      </c>
      <c r="AB11" s="3">
        <v>33.75</v>
      </c>
      <c r="AC11" s="3">
        <v>0.34</v>
      </c>
      <c r="AD11" s="3">
        <v>3.7</v>
      </c>
      <c r="AE11" s="3">
        <v>3.95</v>
      </c>
      <c r="AF11" s="3">
        <v>32.35</v>
      </c>
      <c r="AG11" s="3">
        <v>0.41</v>
      </c>
      <c r="AH11" s="3">
        <v>4.5</v>
      </c>
      <c r="AI11" s="3">
        <v>4.8</v>
      </c>
      <c r="AJ11" s="3">
        <v>30.7</v>
      </c>
      <c r="AK11" s="3">
        <v>0.49</v>
      </c>
      <c r="AL11" s="3">
        <v>5.5</v>
      </c>
      <c r="AM11" s="3">
        <v>5.85</v>
      </c>
      <c r="AN11" s="3">
        <v>28.65</v>
      </c>
      <c r="AO11" s="3">
        <v>0.57999999999999996</v>
      </c>
    </row>
    <row r="12" spans="1:41" x14ac:dyDescent="0.3">
      <c r="A12" s="3">
        <v>50</v>
      </c>
      <c r="B12" s="3">
        <v>50</v>
      </c>
      <c r="C12" s="3">
        <v>50.5</v>
      </c>
      <c r="D12" s="3">
        <v>49.3</v>
      </c>
      <c r="E12" s="3">
        <v>50.7</v>
      </c>
      <c r="F12" s="3">
        <v>1.6</v>
      </c>
      <c r="G12" s="3">
        <v>1.75</v>
      </c>
      <c r="H12" s="3">
        <v>46.65</v>
      </c>
      <c r="I12" s="3">
        <v>0.24</v>
      </c>
      <c r="J12" s="3">
        <v>1.6</v>
      </c>
      <c r="K12" s="3">
        <v>1.75</v>
      </c>
      <c r="L12" s="3">
        <v>46.65</v>
      </c>
      <c r="M12" s="3">
        <v>0.24</v>
      </c>
      <c r="N12" s="3">
        <v>2</v>
      </c>
      <c r="O12" s="3">
        <v>2.15</v>
      </c>
      <c r="P12" s="3">
        <v>45.85</v>
      </c>
      <c r="Q12" s="3">
        <v>0.28999999999999998</v>
      </c>
      <c r="R12" s="3">
        <v>2.4</v>
      </c>
      <c r="S12" s="3">
        <v>2.6</v>
      </c>
      <c r="T12" s="3">
        <v>45</v>
      </c>
      <c r="U12" s="3">
        <v>0.35</v>
      </c>
      <c r="V12" s="3">
        <v>3</v>
      </c>
      <c r="W12" s="3">
        <v>3.2</v>
      </c>
      <c r="X12" s="3">
        <v>43.8</v>
      </c>
      <c r="Y12" s="3">
        <v>0.43</v>
      </c>
      <c r="Z12" s="3">
        <v>3.7</v>
      </c>
      <c r="AA12" s="3">
        <v>3.95</v>
      </c>
      <c r="AB12" s="3">
        <v>42.35</v>
      </c>
      <c r="AC12" s="3">
        <v>0.52</v>
      </c>
      <c r="AD12" s="3">
        <v>4.5999999999999996</v>
      </c>
      <c r="AE12" s="3">
        <v>4.9000000000000004</v>
      </c>
      <c r="AF12" s="3">
        <v>40.5</v>
      </c>
      <c r="AG12" s="3">
        <v>0.64</v>
      </c>
      <c r="AH12" s="3">
        <v>5.6</v>
      </c>
      <c r="AI12" s="3">
        <v>5.95</v>
      </c>
      <c r="AJ12" s="3">
        <v>38.450000000000003</v>
      </c>
      <c r="AK12" s="3">
        <v>0.76</v>
      </c>
      <c r="AL12" s="3">
        <v>6.9</v>
      </c>
      <c r="AM12" s="3">
        <v>7.3</v>
      </c>
      <c r="AN12" s="3">
        <v>35.799999999999997</v>
      </c>
      <c r="AO12" s="3">
        <v>0.9</v>
      </c>
    </row>
    <row r="13" spans="1:41" x14ac:dyDescent="0.3">
      <c r="A13" s="3">
        <v>63</v>
      </c>
      <c r="B13" s="3">
        <v>63</v>
      </c>
      <c r="C13" s="3">
        <v>63.4</v>
      </c>
      <c r="D13" s="3">
        <v>62.2</v>
      </c>
      <c r="E13" s="3">
        <v>63.8</v>
      </c>
      <c r="F13" s="3">
        <v>1.6</v>
      </c>
      <c r="G13" s="3">
        <v>1.75</v>
      </c>
      <c r="H13" s="3">
        <v>59.65</v>
      </c>
      <c r="I13" s="3">
        <v>0.3</v>
      </c>
      <c r="J13" s="3">
        <v>1.9</v>
      </c>
      <c r="K13" s="3">
        <v>2.0499999999999998</v>
      </c>
      <c r="L13" s="3">
        <v>59.05</v>
      </c>
      <c r="M13" s="3">
        <v>0.36</v>
      </c>
      <c r="N13" s="3">
        <v>2.5</v>
      </c>
      <c r="O13" s="3">
        <v>2.7</v>
      </c>
      <c r="P13" s="3">
        <v>57.8</v>
      </c>
      <c r="Q13" s="3">
        <v>0.47</v>
      </c>
      <c r="R13" s="3">
        <v>3</v>
      </c>
      <c r="S13" s="3">
        <v>3.2</v>
      </c>
      <c r="T13" s="3">
        <v>56.8</v>
      </c>
      <c r="U13" s="3">
        <v>0.55000000000000004</v>
      </c>
      <c r="V13" s="3">
        <v>3.8</v>
      </c>
      <c r="W13" s="3">
        <v>4.0999999999999996</v>
      </c>
      <c r="X13" s="3">
        <v>55.15</v>
      </c>
      <c r="Y13" s="3">
        <v>0.69</v>
      </c>
      <c r="Z13" s="3">
        <v>4.7</v>
      </c>
      <c r="AA13" s="3">
        <v>5</v>
      </c>
      <c r="AB13" s="3">
        <v>53.3</v>
      </c>
      <c r="AC13" s="3">
        <v>0.84</v>
      </c>
      <c r="AD13" s="3">
        <v>5.8</v>
      </c>
      <c r="AE13" s="3">
        <v>6.15</v>
      </c>
      <c r="AF13" s="3">
        <v>51.05</v>
      </c>
      <c r="AG13" s="3">
        <v>1.01</v>
      </c>
      <c r="AH13" s="3">
        <v>7.1</v>
      </c>
      <c r="AI13" s="3">
        <v>8</v>
      </c>
      <c r="AJ13" s="3">
        <v>47.9</v>
      </c>
      <c r="AK13" s="3">
        <v>1.24</v>
      </c>
      <c r="AL13" s="3">
        <v>8.6</v>
      </c>
      <c r="AM13" s="3">
        <v>9.1</v>
      </c>
      <c r="AN13" s="3">
        <v>45.3</v>
      </c>
      <c r="AO13" s="3">
        <v>1.42</v>
      </c>
    </row>
    <row r="14" spans="1:41" x14ac:dyDescent="0.3">
      <c r="A14" s="3">
        <v>75</v>
      </c>
      <c r="B14" s="3">
        <v>75</v>
      </c>
      <c r="C14" s="3">
        <v>75.5</v>
      </c>
      <c r="D14" s="3">
        <v>74.2</v>
      </c>
      <c r="E14" s="3">
        <v>75.8</v>
      </c>
      <c r="F14" s="3">
        <v>1.8</v>
      </c>
      <c r="G14" s="3">
        <v>1.95</v>
      </c>
      <c r="H14" s="3">
        <v>71.25</v>
      </c>
      <c r="I14" s="3">
        <v>0.41</v>
      </c>
      <c r="J14" s="3">
        <v>2.2999999999999998</v>
      </c>
      <c r="K14" s="3">
        <v>2.4500000000000002</v>
      </c>
      <c r="L14" s="3">
        <v>70.25</v>
      </c>
      <c r="M14" s="3">
        <v>0.51</v>
      </c>
      <c r="N14" s="3">
        <v>2.9</v>
      </c>
      <c r="O14" s="3">
        <v>3.1</v>
      </c>
      <c r="P14" s="3">
        <v>69</v>
      </c>
      <c r="Q14" s="3">
        <v>0.64</v>
      </c>
      <c r="R14" s="3">
        <v>3.6</v>
      </c>
      <c r="S14" s="3">
        <v>3.9</v>
      </c>
      <c r="T14" s="3">
        <v>67.55</v>
      </c>
      <c r="U14" s="3">
        <v>0.79</v>
      </c>
      <c r="V14" s="3">
        <v>4.5</v>
      </c>
      <c r="W14" s="3">
        <v>4.8</v>
      </c>
      <c r="X14" s="3">
        <v>65.7</v>
      </c>
      <c r="Y14" s="3">
        <v>0.97</v>
      </c>
      <c r="Z14" s="3">
        <v>5.6</v>
      </c>
      <c r="AA14" s="3">
        <v>5.95</v>
      </c>
      <c r="AB14" s="3">
        <v>63.45</v>
      </c>
      <c r="AC14" s="3">
        <v>1.19</v>
      </c>
      <c r="AD14" s="3">
        <v>6.8</v>
      </c>
      <c r="AE14" s="3">
        <v>7.2</v>
      </c>
      <c r="AF14" s="3">
        <v>61</v>
      </c>
      <c r="AG14" s="3">
        <v>1.41</v>
      </c>
      <c r="AH14" s="3">
        <v>8.4</v>
      </c>
      <c r="AI14" s="3">
        <v>8.9</v>
      </c>
      <c r="AJ14" s="3">
        <v>57.7</v>
      </c>
      <c r="AK14" s="3">
        <v>1.7</v>
      </c>
      <c r="AL14" s="3">
        <v>10.3</v>
      </c>
      <c r="AM14" s="3">
        <v>10.9</v>
      </c>
      <c r="AN14" s="3">
        <v>53.8</v>
      </c>
      <c r="AO14" s="3">
        <v>2.02</v>
      </c>
    </row>
    <row r="15" spans="1:41" x14ac:dyDescent="0.3">
      <c r="A15" s="3">
        <v>90</v>
      </c>
      <c r="B15" s="3">
        <v>90</v>
      </c>
      <c r="C15" s="3">
        <v>90.6</v>
      </c>
      <c r="D15" s="3">
        <v>89.1</v>
      </c>
      <c r="E15" s="3">
        <v>90.9</v>
      </c>
      <c r="F15" s="3">
        <v>2.2000000000000002</v>
      </c>
      <c r="G15" s="3">
        <v>2.35</v>
      </c>
      <c r="H15" s="3">
        <v>85.45</v>
      </c>
      <c r="I15" s="3">
        <v>0.59</v>
      </c>
      <c r="J15" s="3">
        <v>2.7</v>
      </c>
      <c r="K15" s="3">
        <v>2.9</v>
      </c>
      <c r="L15" s="3">
        <v>84.4</v>
      </c>
      <c r="M15" s="3">
        <v>0.72</v>
      </c>
      <c r="N15" s="3">
        <v>3.5</v>
      </c>
      <c r="O15" s="3">
        <v>3.75</v>
      </c>
      <c r="P15" s="3">
        <v>82.75</v>
      </c>
      <c r="Q15" s="3">
        <v>0.93</v>
      </c>
      <c r="R15" s="3">
        <v>4.3</v>
      </c>
      <c r="S15" s="3">
        <v>4.5999999999999996</v>
      </c>
      <c r="T15" s="3">
        <v>81.099999999999994</v>
      </c>
      <c r="U15" s="3">
        <v>1.1299999999999999</v>
      </c>
      <c r="V15" s="3">
        <v>5.4</v>
      </c>
      <c r="W15" s="3">
        <v>5.8</v>
      </c>
      <c r="X15" s="3">
        <v>78.849999999999994</v>
      </c>
      <c r="Y15" s="3">
        <v>1.4</v>
      </c>
      <c r="Z15" s="3">
        <v>6.7</v>
      </c>
      <c r="AA15" s="3">
        <v>7.1</v>
      </c>
      <c r="AB15" s="3">
        <v>76.2</v>
      </c>
      <c r="AC15" s="3">
        <v>1.7</v>
      </c>
      <c r="AD15" s="3">
        <v>8.1999999999999993</v>
      </c>
      <c r="AE15" s="3">
        <v>8.6999999999999993</v>
      </c>
      <c r="AF15" s="3">
        <v>73.099999999999994</v>
      </c>
      <c r="AG15" s="3">
        <v>2.04</v>
      </c>
      <c r="AH15" s="3">
        <v>10.1</v>
      </c>
      <c r="AI15" s="3">
        <v>10.7</v>
      </c>
      <c r="AJ15" s="3">
        <v>69.2</v>
      </c>
      <c r="AK15" s="3">
        <v>2.46</v>
      </c>
      <c r="AL15" s="3">
        <v>12.3</v>
      </c>
      <c r="AM15" s="3">
        <v>13</v>
      </c>
      <c r="AN15" s="3">
        <v>64.7</v>
      </c>
      <c r="AO15" s="3">
        <v>2.9</v>
      </c>
    </row>
    <row r="16" spans="1:41" x14ac:dyDescent="0.3">
      <c r="A16" s="3">
        <v>110</v>
      </c>
      <c r="B16" s="3">
        <v>110</v>
      </c>
      <c r="C16" s="3">
        <v>110.7</v>
      </c>
      <c r="D16" s="3">
        <v>108.8</v>
      </c>
      <c r="E16" s="3">
        <v>111.1</v>
      </c>
      <c r="F16" s="3">
        <v>2.7</v>
      </c>
      <c r="G16" s="3">
        <v>2.9</v>
      </c>
      <c r="H16" s="3">
        <v>104.4</v>
      </c>
      <c r="I16" s="3">
        <v>0.89</v>
      </c>
      <c r="J16" s="3">
        <v>3.3</v>
      </c>
      <c r="K16" s="3">
        <v>3.55</v>
      </c>
      <c r="L16" s="3">
        <v>103.15</v>
      </c>
      <c r="M16" s="3">
        <v>1.08</v>
      </c>
      <c r="N16" s="3">
        <v>4.2</v>
      </c>
      <c r="O16" s="3">
        <v>4.5</v>
      </c>
      <c r="P16" s="3">
        <v>101.3</v>
      </c>
      <c r="Q16" s="3">
        <v>1.36</v>
      </c>
      <c r="R16" s="3">
        <v>5.3</v>
      </c>
      <c r="S16" s="3">
        <v>5.7</v>
      </c>
      <c r="T16" s="3">
        <v>99.05</v>
      </c>
      <c r="U16" s="3">
        <v>1.7</v>
      </c>
      <c r="V16" s="3">
        <v>6.6</v>
      </c>
      <c r="W16" s="3">
        <v>7</v>
      </c>
      <c r="X16" s="3">
        <v>96.4</v>
      </c>
      <c r="Y16" s="3">
        <v>2.08</v>
      </c>
      <c r="Z16" s="3">
        <v>8.1</v>
      </c>
      <c r="AA16" s="3">
        <v>8.6</v>
      </c>
      <c r="AB16" s="3">
        <v>93.3</v>
      </c>
      <c r="AC16" s="3">
        <v>2.52</v>
      </c>
      <c r="AD16" s="3">
        <v>10</v>
      </c>
      <c r="AE16" s="3">
        <v>10.55</v>
      </c>
      <c r="AF16" s="3">
        <v>89.45</v>
      </c>
      <c r="AG16" s="3">
        <v>3.04</v>
      </c>
      <c r="AH16" s="3">
        <v>12.3</v>
      </c>
      <c r="AI16" s="3">
        <v>13</v>
      </c>
      <c r="AJ16" s="3">
        <v>84.7</v>
      </c>
      <c r="AK16" s="3">
        <v>3.65</v>
      </c>
      <c r="AL16" s="3">
        <v>15.1</v>
      </c>
      <c r="AM16" s="3">
        <v>15.95</v>
      </c>
      <c r="AN16" s="3">
        <v>78.95</v>
      </c>
      <c r="AO16" s="3">
        <v>4.3499999999999996</v>
      </c>
    </row>
    <row r="17" spans="1:41" x14ac:dyDescent="0.3">
      <c r="A17" s="3">
        <v>125</v>
      </c>
      <c r="B17" s="3">
        <v>125</v>
      </c>
      <c r="C17" s="3">
        <v>125.8</v>
      </c>
      <c r="D17" s="3">
        <v>123.8</v>
      </c>
      <c r="E17" s="3">
        <v>126.3</v>
      </c>
      <c r="F17" s="3">
        <v>3</v>
      </c>
      <c r="G17" s="3">
        <v>3.25</v>
      </c>
      <c r="H17" s="3">
        <v>118.75</v>
      </c>
      <c r="I17" s="3">
        <v>1.1299999999999999</v>
      </c>
      <c r="J17" s="3">
        <v>3.8</v>
      </c>
      <c r="K17" s="3">
        <v>4.0999999999999996</v>
      </c>
      <c r="L17" s="3">
        <v>117.1</v>
      </c>
      <c r="M17" s="3">
        <v>1.42</v>
      </c>
      <c r="N17" s="3">
        <v>4.8</v>
      </c>
      <c r="O17" s="3">
        <v>5.0999999999999996</v>
      </c>
      <c r="P17" s="3">
        <v>115.1</v>
      </c>
      <c r="Q17" s="3">
        <v>1.76</v>
      </c>
      <c r="R17" s="3">
        <v>6</v>
      </c>
      <c r="S17" s="3">
        <v>6.4</v>
      </c>
      <c r="T17" s="3">
        <v>112.65</v>
      </c>
      <c r="U17" s="3">
        <v>2.1800000000000002</v>
      </c>
      <c r="V17" s="3">
        <v>7.4</v>
      </c>
      <c r="W17" s="3">
        <v>7.9</v>
      </c>
      <c r="X17" s="3">
        <v>109.75</v>
      </c>
      <c r="Y17" s="3">
        <v>2.65</v>
      </c>
      <c r="Z17" s="3">
        <v>9.1999999999999993</v>
      </c>
      <c r="AA17" s="3">
        <v>9.75</v>
      </c>
      <c r="AB17" s="3">
        <v>106.05</v>
      </c>
      <c r="AC17" s="3">
        <v>3.25</v>
      </c>
      <c r="AD17" s="3">
        <v>11.4</v>
      </c>
      <c r="AE17" s="3">
        <v>12.05</v>
      </c>
      <c r="AF17" s="3">
        <v>101.55</v>
      </c>
      <c r="AG17" s="3">
        <v>3.94</v>
      </c>
      <c r="AH17" s="3">
        <v>14</v>
      </c>
      <c r="AI17" s="3">
        <v>14.8</v>
      </c>
      <c r="AJ17" s="3">
        <v>96.2</v>
      </c>
      <c r="AK17" s="3">
        <v>4.72</v>
      </c>
      <c r="AL17" s="3">
        <v>17.100000000000001</v>
      </c>
      <c r="AM17" s="3">
        <v>18.05</v>
      </c>
      <c r="AN17" s="3">
        <v>89.85</v>
      </c>
      <c r="AO17" s="3">
        <v>5.6</v>
      </c>
    </row>
    <row r="18" spans="1:41" x14ac:dyDescent="0.3">
      <c r="A18" s="3">
        <v>140</v>
      </c>
      <c r="B18" s="3">
        <v>140</v>
      </c>
      <c r="C18" s="3">
        <v>140.9</v>
      </c>
      <c r="D18" s="3">
        <v>138.6</v>
      </c>
      <c r="E18" s="3">
        <v>141.4</v>
      </c>
      <c r="F18" s="3">
        <v>3.4</v>
      </c>
      <c r="G18" s="3">
        <v>3.65</v>
      </c>
      <c r="H18" s="3">
        <v>132.94999999999999</v>
      </c>
      <c r="I18" s="3">
        <v>1.43</v>
      </c>
      <c r="J18" s="3">
        <v>4.2</v>
      </c>
      <c r="K18" s="3">
        <v>4.55</v>
      </c>
      <c r="L18" s="3">
        <v>131.25</v>
      </c>
      <c r="M18" s="3">
        <v>1.76</v>
      </c>
      <c r="N18" s="3">
        <v>5.4</v>
      </c>
      <c r="O18" s="3">
        <v>5.75</v>
      </c>
      <c r="P18" s="3">
        <v>128.85</v>
      </c>
      <c r="Q18" s="3">
        <v>2.2200000000000002</v>
      </c>
      <c r="R18" s="3">
        <v>6.7</v>
      </c>
      <c r="S18" s="3">
        <v>7.1</v>
      </c>
      <c r="T18" s="3">
        <v>126.2</v>
      </c>
      <c r="U18" s="3">
        <v>2.72</v>
      </c>
      <c r="V18" s="3">
        <v>8.3000000000000007</v>
      </c>
      <c r="W18" s="3">
        <v>8.8000000000000007</v>
      </c>
      <c r="X18" s="3">
        <v>122.9</v>
      </c>
      <c r="Y18" s="3">
        <v>3.33</v>
      </c>
      <c r="Z18" s="3">
        <v>10.3</v>
      </c>
      <c r="AA18" s="3">
        <v>10.9</v>
      </c>
      <c r="AB18" s="3">
        <v>118.8</v>
      </c>
      <c r="AC18" s="3">
        <v>4.07</v>
      </c>
      <c r="AD18" s="3">
        <v>12.7</v>
      </c>
      <c r="AE18" s="3">
        <v>13.4</v>
      </c>
      <c r="AF18" s="3">
        <v>113.9</v>
      </c>
      <c r="AG18" s="3">
        <v>4.91</v>
      </c>
      <c r="AH18" s="3">
        <v>15.7</v>
      </c>
      <c r="AI18" s="3">
        <v>16.55</v>
      </c>
      <c r="AJ18" s="3">
        <v>107.75</v>
      </c>
      <c r="AK18" s="3">
        <v>5.92</v>
      </c>
      <c r="AL18" s="3">
        <v>19.2</v>
      </c>
      <c r="AM18" s="3">
        <v>20.25</v>
      </c>
      <c r="AN18" s="3">
        <v>100.55</v>
      </c>
      <c r="AO18" s="3">
        <v>7.04</v>
      </c>
    </row>
    <row r="19" spans="1:41" x14ac:dyDescent="0.3">
      <c r="A19" s="3">
        <v>160</v>
      </c>
      <c r="B19" s="3">
        <v>160</v>
      </c>
      <c r="C19" s="3">
        <v>161</v>
      </c>
      <c r="D19" s="3">
        <v>158.4</v>
      </c>
      <c r="E19" s="3">
        <v>161.6</v>
      </c>
      <c r="F19" s="3">
        <v>3.9</v>
      </c>
      <c r="G19" s="3">
        <v>4.1500000000000004</v>
      </c>
      <c r="H19" s="3">
        <v>151.94999999999999</v>
      </c>
      <c r="I19" s="3">
        <v>1.86</v>
      </c>
      <c r="J19" s="3">
        <v>4.8</v>
      </c>
      <c r="K19" s="3">
        <v>5.0999999999999996</v>
      </c>
      <c r="L19" s="3">
        <v>150.1</v>
      </c>
      <c r="M19" s="3">
        <v>2.2799999999999998</v>
      </c>
      <c r="N19" s="3">
        <v>6.2</v>
      </c>
      <c r="O19" s="3">
        <v>6.6</v>
      </c>
      <c r="P19" s="3">
        <v>147.19999999999999</v>
      </c>
      <c r="Q19" s="3">
        <v>2.92</v>
      </c>
      <c r="R19" s="3">
        <v>7.7</v>
      </c>
      <c r="S19" s="3">
        <v>8.1999999999999993</v>
      </c>
      <c r="T19" s="3">
        <v>144.15</v>
      </c>
      <c r="U19" s="3">
        <v>3.57</v>
      </c>
      <c r="V19" s="3">
        <v>9.5</v>
      </c>
      <c r="W19" s="3">
        <v>10.1</v>
      </c>
      <c r="X19" s="3">
        <v>140.44999999999999</v>
      </c>
      <c r="Y19" s="3">
        <v>4.3499999999999996</v>
      </c>
      <c r="Z19" s="3">
        <v>11.8</v>
      </c>
      <c r="AA19" s="3">
        <v>12.45</v>
      </c>
      <c r="AB19" s="3">
        <v>135.75</v>
      </c>
      <c r="AC19" s="3">
        <v>5.32</v>
      </c>
      <c r="AD19" s="3">
        <v>14.6</v>
      </c>
      <c r="AE19" s="3">
        <v>15.4</v>
      </c>
      <c r="AF19" s="3">
        <v>130</v>
      </c>
      <c r="AG19" s="3">
        <v>6.45</v>
      </c>
      <c r="AH19" s="3">
        <v>17.8</v>
      </c>
      <c r="AI19" s="3">
        <v>18.8</v>
      </c>
      <c r="AJ19" s="3">
        <v>123.4</v>
      </c>
      <c r="AK19" s="3">
        <v>7.69</v>
      </c>
      <c r="AL19" s="3">
        <v>21.9</v>
      </c>
      <c r="AM19" s="3">
        <v>23.05</v>
      </c>
      <c r="AN19" s="3">
        <v>115.05</v>
      </c>
      <c r="AO19" s="3">
        <v>9.17</v>
      </c>
    </row>
    <row r="20" spans="1:41" x14ac:dyDescent="0.3">
      <c r="A20" s="3">
        <v>180</v>
      </c>
      <c r="B20" s="3">
        <v>180</v>
      </c>
      <c r="C20" s="3">
        <v>181.1</v>
      </c>
      <c r="D20" s="3">
        <v>178.2</v>
      </c>
      <c r="E20" s="3">
        <v>181.8</v>
      </c>
      <c r="F20" s="3">
        <v>4.4000000000000004</v>
      </c>
      <c r="G20" s="3">
        <v>4.6500000000000004</v>
      </c>
      <c r="H20" s="3">
        <v>170.95</v>
      </c>
      <c r="I20" s="3">
        <v>2.35</v>
      </c>
      <c r="J20" s="3">
        <v>5.5</v>
      </c>
      <c r="K20" s="3">
        <v>5.8</v>
      </c>
      <c r="L20" s="3">
        <v>168.7</v>
      </c>
      <c r="M20" s="3">
        <v>2.92</v>
      </c>
      <c r="N20" s="3">
        <v>6.9</v>
      </c>
      <c r="O20" s="3">
        <v>7.3</v>
      </c>
      <c r="P20" s="3">
        <v>165.8</v>
      </c>
      <c r="Q20" s="3">
        <v>3.64</v>
      </c>
      <c r="R20" s="3">
        <v>8.6</v>
      </c>
      <c r="S20" s="3">
        <v>9.1</v>
      </c>
      <c r="T20" s="3">
        <v>162.30000000000001</v>
      </c>
      <c r="U20" s="3">
        <v>4.49</v>
      </c>
      <c r="V20" s="3">
        <v>10.7</v>
      </c>
      <c r="W20" s="3">
        <v>11.3</v>
      </c>
      <c r="X20" s="3">
        <v>158</v>
      </c>
      <c r="Y20" s="3">
        <v>5.51</v>
      </c>
      <c r="Z20" s="3">
        <v>13.3</v>
      </c>
      <c r="AA20" s="3">
        <v>14.05</v>
      </c>
      <c r="AB20" s="3">
        <v>152.65</v>
      </c>
      <c r="AC20" s="3">
        <v>6.75</v>
      </c>
      <c r="AD20" s="3">
        <v>16.399999999999999</v>
      </c>
      <c r="AE20" s="3">
        <v>17.3</v>
      </c>
      <c r="AF20" s="3">
        <v>146.30000000000001</v>
      </c>
      <c r="AG20" s="3">
        <v>8.15</v>
      </c>
      <c r="AH20" s="3">
        <v>20.100000000000001</v>
      </c>
      <c r="AI20" s="3">
        <v>21.2</v>
      </c>
      <c r="AJ20" s="3">
        <v>138.69999999999999</v>
      </c>
      <c r="AK20" s="3">
        <v>9.76</v>
      </c>
      <c r="AL20" s="3">
        <v>24.6</v>
      </c>
      <c r="AM20" s="3">
        <v>25.9</v>
      </c>
      <c r="AN20" s="3">
        <v>129.5</v>
      </c>
      <c r="AO20" s="3">
        <v>11.59</v>
      </c>
    </row>
    <row r="21" spans="1:41" x14ac:dyDescent="0.3">
      <c r="A21" s="3">
        <v>200</v>
      </c>
      <c r="B21" s="3">
        <v>200</v>
      </c>
      <c r="C21" s="3">
        <v>201.2</v>
      </c>
      <c r="D21" s="3">
        <v>198</v>
      </c>
      <c r="E21" s="3">
        <v>202</v>
      </c>
      <c r="F21" s="3">
        <v>4.9000000000000004</v>
      </c>
      <c r="G21" s="3">
        <v>5.2</v>
      </c>
      <c r="H21" s="3">
        <v>189.9</v>
      </c>
      <c r="I21" s="3">
        <v>2.92</v>
      </c>
      <c r="J21" s="3">
        <v>6.1</v>
      </c>
      <c r="K21" s="3">
        <v>6.45</v>
      </c>
      <c r="L21" s="3">
        <v>187.45</v>
      </c>
      <c r="M21" s="3">
        <v>3.61</v>
      </c>
      <c r="N21" s="3">
        <v>7.7</v>
      </c>
      <c r="O21" s="3">
        <v>8.15</v>
      </c>
      <c r="P21" s="3">
        <v>184.15</v>
      </c>
      <c r="Q21" s="3">
        <v>4.51</v>
      </c>
      <c r="R21" s="3">
        <v>9.6</v>
      </c>
      <c r="S21" s="3">
        <v>10.199999999999999</v>
      </c>
      <c r="T21" s="3">
        <v>180.25</v>
      </c>
      <c r="U21" s="3">
        <v>5.57</v>
      </c>
      <c r="V21" s="3">
        <v>11.9</v>
      </c>
      <c r="W21" s="3">
        <v>12.6</v>
      </c>
      <c r="X21" s="3">
        <v>175.55</v>
      </c>
      <c r="Y21" s="3">
        <v>6.81</v>
      </c>
      <c r="Z21" s="3">
        <v>14.7</v>
      </c>
      <c r="AA21" s="3">
        <v>15.5</v>
      </c>
      <c r="AB21" s="3">
        <v>169.8</v>
      </c>
      <c r="AC21" s="3">
        <v>8.2799999999999994</v>
      </c>
      <c r="AD21" s="3">
        <v>18.2</v>
      </c>
      <c r="AE21" s="3">
        <v>19.2</v>
      </c>
      <c r="AF21" s="3">
        <v>162.6</v>
      </c>
      <c r="AG21" s="3">
        <v>10.050000000000001</v>
      </c>
      <c r="AH21" s="3">
        <v>22.4</v>
      </c>
      <c r="AI21" s="3">
        <v>23.6</v>
      </c>
      <c r="AJ21" s="3">
        <v>154</v>
      </c>
      <c r="AK21" s="3">
        <v>12.07</v>
      </c>
      <c r="AL21" s="3">
        <v>27.4</v>
      </c>
      <c r="AM21" s="3">
        <v>28.85</v>
      </c>
      <c r="AN21" s="3">
        <v>143.75</v>
      </c>
      <c r="AO21" s="3">
        <v>14.34</v>
      </c>
    </row>
    <row r="22" spans="1:41" x14ac:dyDescent="0.3">
      <c r="A22" s="3">
        <v>225</v>
      </c>
      <c r="B22" s="3">
        <v>225</v>
      </c>
      <c r="C22" s="3">
        <v>226.4</v>
      </c>
      <c r="D22" s="3">
        <v>222.8</v>
      </c>
      <c r="E22" s="3">
        <v>227.3</v>
      </c>
      <c r="F22" s="3">
        <v>5.5</v>
      </c>
      <c r="G22" s="3">
        <v>5.8</v>
      </c>
      <c r="H22" s="3">
        <v>213.7</v>
      </c>
      <c r="I22" s="3">
        <v>3.68</v>
      </c>
      <c r="J22" s="3">
        <v>6.8</v>
      </c>
      <c r="K22" s="3">
        <v>7.2</v>
      </c>
      <c r="L22" s="3">
        <v>211</v>
      </c>
      <c r="M22" s="3">
        <v>4.53</v>
      </c>
      <c r="N22" s="3">
        <v>8.6</v>
      </c>
      <c r="O22" s="3">
        <v>9.1</v>
      </c>
      <c r="P22" s="3">
        <v>207.3</v>
      </c>
      <c r="Q22" s="3">
        <v>5.67</v>
      </c>
      <c r="R22" s="3">
        <v>10.8</v>
      </c>
      <c r="S22" s="3">
        <v>11.4</v>
      </c>
      <c r="T22" s="3">
        <v>202.8</v>
      </c>
      <c r="U22" s="3">
        <v>7.04</v>
      </c>
      <c r="V22" s="3">
        <v>13.4</v>
      </c>
      <c r="W22" s="3">
        <v>14.2</v>
      </c>
      <c r="X22" s="3">
        <v>197.45</v>
      </c>
      <c r="Y22" s="3">
        <v>8.6300000000000008</v>
      </c>
      <c r="Z22" s="3">
        <v>16.600000000000001</v>
      </c>
      <c r="AA22" s="3">
        <v>17.5</v>
      </c>
      <c r="AB22" s="3">
        <v>190.9</v>
      </c>
      <c r="AC22" s="3">
        <v>10.51</v>
      </c>
      <c r="AD22" s="3">
        <v>20.5</v>
      </c>
      <c r="AE22" s="3">
        <v>21.65</v>
      </c>
      <c r="AF22" s="3">
        <v>182.85</v>
      </c>
      <c r="AG22" s="3">
        <v>12.75</v>
      </c>
      <c r="AH22" s="3">
        <v>25.2</v>
      </c>
      <c r="AI22" s="3">
        <v>26.55</v>
      </c>
      <c r="AJ22" s="3">
        <v>173.25</v>
      </c>
      <c r="AK22" s="3">
        <v>15.28</v>
      </c>
      <c r="AL22" s="3">
        <v>30.8</v>
      </c>
      <c r="AM22" s="3">
        <v>32.4</v>
      </c>
      <c r="AN22" s="3">
        <v>161.80000000000001</v>
      </c>
      <c r="AO22" s="3">
        <v>18.12</v>
      </c>
    </row>
    <row r="23" spans="1:41" x14ac:dyDescent="0.3">
      <c r="A23" s="3">
        <v>250</v>
      </c>
      <c r="B23" s="3">
        <v>250</v>
      </c>
      <c r="C23" s="3">
        <v>251.5</v>
      </c>
      <c r="D23" s="3">
        <v>247.5</v>
      </c>
      <c r="E23" s="3">
        <v>252.5</v>
      </c>
      <c r="F23" s="3">
        <v>6.1</v>
      </c>
      <c r="G23" s="3">
        <v>6.45</v>
      </c>
      <c r="H23" s="3">
        <v>237.45</v>
      </c>
      <c r="I23" s="3">
        <v>4.54</v>
      </c>
      <c r="J23" s="3">
        <v>7.6</v>
      </c>
      <c r="K23" s="3">
        <v>8</v>
      </c>
      <c r="L23" s="3">
        <v>234.4</v>
      </c>
      <c r="M23" s="3">
        <v>5.6</v>
      </c>
      <c r="N23" s="3">
        <v>9.6</v>
      </c>
      <c r="O23" s="3">
        <v>10.15</v>
      </c>
      <c r="P23" s="3">
        <v>230.25</v>
      </c>
      <c r="Q23" s="3">
        <v>7.03</v>
      </c>
      <c r="R23" s="3">
        <v>11.9</v>
      </c>
      <c r="S23" s="3">
        <v>12.6</v>
      </c>
      <c r="T23" s="3">
        <v>225.55</v>
      </c>
      <c r="U23" s="3">
        <v>8.6199999999999992</v>
      </c>
      <c r="V23" s="3">
        <v>14.8</v>
      </c>
      <c r="W23" s="3">
        <v>15.6</v>
      </c>
      <c r="X23" s="3">
        <v>219.6</v>
      </c>
      <c r="Y23" s="3">
        <v>10.58</v>
      </c>
      <c r="Z23" s="3">
        <v>18.399999999999999</v>
      </c>
      <c r="AA23" s="3">
        <v>19.399999999999999</v>
      </c>
      <c r="AB23" s="3">
        <v>212.2</v>
      </c>
      <c r="AC23" s="3">
        <v>12.95</v>
      </c>
      <c r="AD23" s="3">
        <v>22.7</v>
      </c>
      <c r="AE23" s="3">
        <v>23.9</v>
      </c>
      <c r="AF23" s="3">
        <v>203.4</v>
      </c>
      <c r="AG23" s="3">
        <v>15.66</v>
      </c>
      <c r="AH23" s="3">
        <v>27.9</v>
      </c>
      <c r="AI23" s="3">
        <v>29.35</v>
      </c>
      <c r="AJ23" s="3">
        <v>192.75</v>
      </c>
      <c r="AK23" s="3">
        <v>18.79</v>
      </c>
      <c r="AL23" s="3">
        <v>34.200000000000003</v>
      </c>
      <c r="AM23" s="3">
        <v>36</v>
      </c>
      <c r="AN23" s="3">
        <v>179.8</v>
      </c>
      <c r="AO23" s="3">
        <v>22.37</v>
      </c>
    </row>
    <row r="24" spans="1:41" x14ac:dyDescent="0.3">
      <c r="A24" s="3">
        <v>280</v>
      </c>
      <c r="B24" s="3">
        <v>280</v>
      </c>
      <c r="C24" s="3">
        <v>281.7</v>
      </c>
      <c r="D24" s="3">
        <v>275.10000000000002</v>
      </c>
      <c r="E24" s="3">
        <v>284.89999999999998</v>
      </c>
      <c r="F24" s="3">
        <v>6.8</v>
      </c>
      <c r="G24" s="3">
        <v>7.2</v>
      </c>
      <c r="H24" s="3">
        <v>266</v>
      </c>
      <c r="I24" s="3">
        <v>5.67</v>
      </c>
      <c r="J24" s="3">
        <v>8.5</v>
      </c>
      <c r="K24" s="3">
        <v>9</v>
      </c>
      <c r="L24" s="3">
        <v>262.5</v>
      </c>
      <c r="M24" s="3">
        <v>7.04</v>
      </c>
      <c r="N24" s="3">
        <v>10.7</v>
      </c>
      <c r="O24" s="3">
        <v>11.3</v>
      </c>
      <c r="P24" s="3">
        <v>258</v>
      </c>
      <c r="Q24" s="3">
        <v>8.7799999999999994</v>
      </c>
      <c r="R24" s="3">
        <v>13.4</v>
      </c>
      <c r="S24" s="3">
        <v>14.2</v>
      </c>
      <c r="T24" s="3">
        <v>252.45</v>
      </c>
      <c r="U24" s="3">
        <v>10.88</v>
      </c>
      <c r="V24" s="3">
        <v>16.600000000000001</v>
      </c>
      <c r="W24" s="3">
        <v>17.5</v>
      </c>
      <c r="X24" s="3">
        <v>245.9</v>
      </c>
      <c r="Y24" s="3">
        <v>13.3</v>
      </c>
      <c r="Z24" s="3">
        <v>20.6</v>
      </c>
      <c r="AA24" s="3">
        <v>21.7</v>
      </c>
      <c r="AB24" s="3">
        <v>237.7</v>
      </c>
      <c r="AC24" s="3">
        <v>16.239999999999998</v>
      </c>
      <c r="AD24" s="3">
        <v>25.4</v>
      </c>
      <c r="AE24" s="3">
        <v>26.75</v>
      </c>
      <c r="AF24" s="3">
        <v>227.85</v>
      </c>
      <c r="AG24" s="3">
        <v>19.64</v>
      </c>
      <c r="AH24" s="3">
        <v>31.3</v>
      </c>
      <c r="AI24" s="3">
        <v>32.85</v>
      </c>
      <c r="AJ24" s="3">
        <v>215.85</v>
      </c>
      <c r="AK24" s="3">
        <v>23.58</v>
      </c>
      <c r="AL24" s="3">
        <v>38.299999999999997</v>
      </c>
      <c r="AM24" s="3">
        <v>40.299999999999997</v>
      </c>
      <c r="AN24" s="3">
        <v>201.4</v>
      </c>
      <c r="AO24" s="3">
        <v>28.05</v>
      </c>
    </row>
    <row r="25" spans="1:41" x14ac:dyDescent="0.3">
      <c r="A25" s="3">
        <v>315</v>
      </c>
      <c r="B25" s="3">
        <v>315</v>
      </c>
      <c r="C25" s="3">
        <v>316.89999999999998</v>
      </c>
      <c r="D25" s="3">
        <v>309.5</v>
      </c>
      <c r="E25" s="3">
        <v>320.60000000000002</v>
      </c>
      <c r="F25" s="3">
        <v>7.7</v>
      </c>
      <c r="G25" s="3">
        <v>8.15</v>
      </c>
      <c r="H25" s="3">
        <v>299.14999999999998</v>
      </c>
      <c r="I25" s="3">
        <v>7.22</v>
      </c>
      <c r="J25" s="3">
        <v>9.6999999999999993</v>
      </c>
      <c r="K25" s="3">
        <v>10.25</v>
      </c>
      <c r="L25" s="3">
        <v>295.05</v>
      </c>
      <c r="M25" s="3">
        <v>9.02</v>
      </c>
      <c r="N25" s="3">
        <v>12.1</v>
      </c>
      <c r="O25" s="3">
        <v>12.8</v>
      </c>
      <c r="P25" s="3">
        <v>290.10000000000002</v>
      </c>
      <c r="Q25" s="3">
        <v>11.17</v>
      </c>
      <c r="R25" s="3">
        <v>15</v>
      </c>
      <c r="S25" s="3">
        <v>15.8</v>
      </c>
      <c r="T25" s="3">
        <v>284.2</v>
      </c>
      <c r="U25" s="3">
        <v>13.68</v>
      </c>
      <c r="V25" s="3">
        <v>18.7</v>
      </c>
      <c r="W25" s="3">
        <v>19.7</v>
      </c>
      <c r="X25" s="3">
        <v>276.60000000000002</v>
      </c>
      <c r="Y25" s="3">
        <v>16.84</v>
      </c>
      <c r="Z25" s="3">
        <v>23.2</v>
      </c>
      <c r="AA25" s="3">
        <v>24.45</v>
      </c>
      <c r="AB25" s="3">
        <v>267.35000000000002</v>
      </c>
      <c r="AC25" s="3">
        <v>20.57</v>
      </c>
      <c r="AD25" s="3">
        <v>28.6</v>
      </c>
      <c r="AE25" s="3">
        <v>30.1</v>
      </c>
      <c r="AF25" s="3">
        <v>256.3</v>
      </c>
      <c r="AG25" s="3">
        <v>24.86</v>
      </c>
      <c r="AH25" s="3">
        <v>35.200000000000003</v>
      </c>
      <c r="AI25" s="3">
        <v>37.049999999999997</v>
      </c>
      <c r="AJ25" s="3">
        <v>242.75</v>
      </c>
      <c r="AK25" s="3">
        <v>29.88</v>
      </c>
      <c r="AL25" s="3">
        <v>43.1</v>
      </c>
      <c r="AM25" s="3">
        <v>45.35</v>
      </c>
      <c r="AN25" s="3">
        <v>226.55</v>
      </c>
      <c r="AO25" s="3">
        <v>35.51</v>
      </c>
    </row>
    <row r="26" spans="1:41" x14ac:dyDescent="0.3">
      <c r="A26" s="3">
        <v>355</v>
      </c>
      <c r="B26" s="3">
        <v>355</v>
      </c>
      <c r="C26" s="3">
        <v>357.2</v>
      </c>
      <c r="D26" s="3">
        <v>348.8</v>
      </c>
      <c r="E26" s="3">
        <v>361.3</v>
      </c>
      <c r="F26" s="3">
        <v>8.6999999999999993</v>
      </c>
      <c r="G26" s="3">
        <v>9.1999999999999993</v>
      </c>
      <c r="H26" s="3">
        <v>337.1</v>
      </c>
      <c r="I26" s="3">
        <v>9.19</v>
      </c>
      <c r="J26" s="3">
        <v>10.9</v>
      </c>
      <c r="K26" s="3">
        <v>11.5</v>
      </c>
      <c r="L26" s="3">
        <v>332.6</v>
      </c>
      <c r="M26" s="3">
        <v>11.42</v>
      </c>
      <c r="N26" s="3">
        <v>13.6</v>
      </c>
      <c r="O26" s="3">
        <v>14.35</v>
      </c>
      <c r="P26" s="3">
        <v>327.05</v>
      </c>
      <c r="Q26" s="3">
        <v>14.13</v>
      </c>
      <c r="R26" s="3">
        <v>16.899999999999999</v>
      </c>
      <c r="S26" s="3">
        <v>17.8</v>
      </c>
      <c r="T26" s="3">
        <v>320.3</v>
      </c>
      <c r="U26" s="3">
        <v>17.37</v>
      </c>
      <c r="V26" s="3">
        <v>21.1</v>
      </c>
      <c r="W26" s="3">
        <v>22.3</v>
      </c>
      <c r="X26" s="3">
        <v>311.64999999999998</v>
      </c>
      <c r="Y26" s="3">
        <v>21.43</v>
      </c>
      <c r="Z26" s="3">
        <v>26.1</v>
      </c>
      <c r="AA26" s="3">
        <v>27.5</v>
      </c>
      <c r="AB26" s="3">
        <v>301.39999999999998</v>
      </c>
      <c r="AC26" s="3">
        <v>26.09</v>
      </c>
      <c r="AD26" s="3">
        <v>32.200000000000003</v>
      </c>
      <c r="AE26" s="3">
        <v>33.9</v>
      </c>
      <c r="AF26" s="3">
        <v>288.89999999999998</v>
      </c>
      <c r="AG26" s="3">
        <v>31.56</v>
      </c>
      <c r="AH26" s="3">
        <v>39.700000000000003</v>
      </c>
      <c r="AI26" s="3">
        <v>41.75</v>
      </c>
      <c r="AJ26" s="3">
        <v>273.55</v>
      </c>
      <c r="AK26" s="3">
        <v>37.96</v>
      </c>
      <c r="AL26" s="3">
        <v>48.5</v>
      </c>
      <c r="AM26" s="3">
        <v>51</v>
      </c>
      <c r="AN26" s="3">
        <v>255.5</v>
      </c>
      <c r="AO26" s="3">
        <v>45.04</v>
      </c>
    </row>
    <row r="27" spans="1:41" x14ac:dyDescent="0.3">
      <c r="A27" s="3">
        <v>400</v>
      </c>
      <c r="B27" s="3">
        <v>400</v>
      </c>
      <c r="C27" s="3">
        <v>402.4</v>
      </c>
      <c r="D27" s="3">
        <v>393</v>
      </c>
      <c r="E27" s="3">
        <v>407</v>
      </c>
      <c r="F27" s="3">
        <v>9.8000000000000007</v>
      </c>
      <c r="G27" s="3">
        <v>10.35</v>
      </c>
      <c r="H27" s="3">
        <v>379.85</v>
      </c>
      <c r="I27" s="3">
        <v>11.65</v>
      </c>
      <c r="J27" s="3">
        <v>12.3</v>
      </c>
      <c r="K27" s="3">
        <v>13</v>
      </c>
      <c r="L27" s="3">
        <v>374.7</v>
      </c>
      <c r="M27" s="3">
        <v>14.53</v>
      </c>
      <c r="N27" s="3">
        <v>15.3</v>
      </c>
      <c r="O27" s="3">
        <v>16.149999999999999</v>
      </c>
      <c r="P27" s="3">
        <v>368.55</v>
      </c>
      <c r="Q27" s="3">
        <v>17.920000000000002</v>
      </c>
      <c r="R27" s="3">
        <v>19.100000000000001</v>
      </c>
      <c r="S27" s="3">
        <v>20.2</v>
      </c>
      <c r="T27" s="3">
        <v>360.75</v>
      </c>
      <c r="U27" s="3">
        <v>22.14</v>
      </c>
      <c r="V27" s="3">
        <v>23.7</v>
      </c>
      <c r="W27" s="3">
        <v>25</v>
      </c>
      <c r="X27" s="3">
        <v>351.35</v>
      </c>
      <c r="Y27" s="3">
        <v>27.1</v>
      </c>
      <c r="Z27" s="3">
        <v>29.4</v>
      </c>
      <c r="AA27" s="3">
        <v>30.95</v>
      </c>
      <c r="AB27" s="3">
        <v>339.65</v>
      </c>
      <c r="AC27" s="3">
        <v>33.1</v>
      </c>
      <c r="AD27" s="3">
        <v>36.299999999999997</v>
      </c>
      <c r="AE27" s="3">
        <v>38.200000000000003</v>
      </c>
      <c r="AF27" s="3">
        <v>325.5</v>
      </c>
      <c r="AG27" s="3">
        <v>40.07</v>
      </c>
      <c r="AH27" s="3">
        <v>44.7</v>
      </c>
      <c r="AI27" s="3">
        <v>47.15</v>
      </c>
      <c r="AJ27" s="3">
        <v>308.14999999999998</v>
      </c>
      <c r="AK27" s="3">
        <v>48.22</v>
      </c>
      <c r="AL27" s="3">
        <v>54.7</v>
      </c>
      <c r="AM27" s="3">
        <v>57.5</v>
      </c>
      <c r="AN27" s="3">
        <v>287.8</v>
      </c>
      <c r="AO27" s="3">
        <v>57.22</v>
      </c>
    </row>
    <row r="28" spans="1:41" x14ac:dyDescent="0.3">
      <c r="A28" s="3">
        <v>450</v>
      </c>
      <c r="B28" s="3">
        <v>450</v>
      </c>
      <c r="C28" s="3">
        <v>452.7</v>
      </c>
      <c r="D28" s="3">
        <v>442.1</v>
      </c>
      <c r="E28" s="3">
        <v>457.9</v>
      </c>
      <c r="F28" s="3">
        <v>11</v>
      </c>
      <c r="G28" s="3">
        <v>11.6</v>
      </c>
      <c r="H28" s="3">
        <v>427.4</v>
      </c>
      <c r="I28" s="3">
        <v>14.7</v>
      </c>
      <c r="J28" s="3">
        <v>13.8</v>
      </c>
      <c r="K28" s="3">
        <v>14.55</v>
      </c>
      <c r="L28" s="3">
        <v>421.65</v>
      </c>
      <c r="M28" s="3">
        <v>18.32</v>
      </c>
      <c r="N28" s="3">
        <v>17.2</v>
      </c>
      <c r="O28" s="3">
        <v>18.149999999999999</v>
      </c>
      <c r="P28" s="3">
        <v>414.65</v>
      </c>
      <c r="Q28" s="3">
        <v>22.66</v>
      </c>
      <c r="R28" s="3">
        <v>21.5</v>
      </c>
      <c r="S28" s="3">
        <v>22.7</v>
      </c>
      <c r="T28" s="3">
        <v>405.85</v>
      </c>
      <c r="U28" s="3">
        <v>28.01</v>
      </c>
      <c r="V28" s="3">
        <v>26.7</v>
      </c>
      <c r="W28" s="3">
        <v>28.1</v>
      </c>
      <c r="X28" s="3">
        <v>395.25</v>
      </c>
      <c r="Y28" s="3">
        <v>34.31</v>
      </c>
      <c r="Z28" s="3">
        <v>33.1</v>
      </c>
      <c r="AA28" s="3">
        <v>34.85</v>
      </c>
      <c r="AB28" s="3">
        <v>382.05</v>
      </c>
      <c r="AC28" s="3">
        <v>41.92</v>
      </c>
      <c r="AD28" s="3">
        <v>40.9</v>
      </c>
      <c r="AE28" s="3">
        <v>43</v>
      </c>
      <c r="AF28" s="3">
        <v>366.1</v>
      </c>
      <c r="AG28" s="3">
        <v>50.77</v>
      </c>
      <c r="AH28" s="3">
        <v>50.3</v>
      </c>
      <c r="AI28" s="3">
        <v>52.9</v>
      </c>
      <c r="AJ28" s="3">
        <v>346.8</v>
      </c>
      <c r="AK28" s="3">
        <v>60.97</v>
      </c>
      <c r="AL28" s="3">
        <v>61.5</v>
      </c>
      <c r="AM28" s="3">
        <v>64.650000000000006</v>
      </c>
      <c r="AN28" s="3">
        <v>323.85000000000002</v>
      </c>
      <c r="AO28" s="3">
        <v>72.38</v>
      </c>
    </row>
    <row r="29" spans="1:41" x14ac:dyDescent="0.3">
      <c r="A29" s="3">
        <v>500</v>
      </c>
      <c r="B29" s="3">
        <v>500</v>
      </c>
      <c r="C29" s="3">
        <v>503</v>
      </c>
      <c r="D29" s="3">
        <v>491.3</v>
      </c>
      <c r="E29" s="3">
        <v>508.8</v>
      </c>
      <c r="F29" s="3">
        <v>12.2</v>
      </c>
      <c r="G29" s="3">
        <v>12.95</v>
      </c>
      <c r="H29" s="3">
        <v>474.85</v>
      </c>
      <c r="I29" s="3">
        <v>18.18</v>
      </c>
      <c r="J29" s="3">
        <v>15.3</v>
      </c>
      <c r="K29" s="3">
        <v>16.149999999999999</v>
      </c>
      <c r="L29" s="3">
        <v>468.55</v>
      </c>
      <c r="M29" s="3">
        <v>22.58</v>
      </c>
      <c r="N29" s="3">
        <v>19.100000000000001</v>
      </c>
      <c r="O29" s="3">
        <v>20.149999999999999</v>
      </c>
      <c r="P29" s="3">
        <v>460.75</v>
      </c>
      <c r="Q29" s="3">
        <v>27.96</v>
      </c>
      <c r="R29" s="3">
        <v>23.9</v>
      </c>
      <c r="S29" s="3">
        <v>25.2</v>
      </c>
      <c r="T29" s="3">
        <v>450.95</v>
      </c>
      <c r="U29" s="3">
        <v>34.58</v>
      </c>
      <c r="V29" s="3">
        <v>29.7</v>
      </c>
      <c r="W29" s="3">
        <v>31.3</v>
      </c>
      <c r="X29" s="3">
        <v>439.05</v>
      </c>
      <c r="Y29" s="3">
        <v>42.44</v>
      </c>
      <c r="Z29" s="3">
        <v>36.799999999999997</v>
      </c>
      <c r="AA29" s="3">
        <v>38.799999999999997</v>
      </c>
      <c r="AB29" s="3">
        <v>424.4</v>
      </c>
      <c r="AC29" s="3">
        <v>51.81</v>
      </c>
      <c r="AD29" s="3">
        <v>45.4</v>
      </c>
      <c r="AE29" s="3">
        <v>47.75</v>
      </c>
      <c r="AF29" s="3">
        <v>406.85</v>
      </c>
      <c r="AG29" s="3">
        <v>62.63</v>
      </c>
      <c r="AH29" s="3">
        <v>55.8</v>
      </c>
      <c r="AI29" s="3">
        <v>58.65</v>
      </c>
      <c r="AJ29" s="3">
        <v>385.55</v>
      </c>
      <c r="AK29" s="3">
        <v>75.14</v>
      </c>
    </row>
    <row r="30" spans="1:41" x14ac:dyDescent="0.3">
      <c r="A30" s="3">
        <v>560</v>
      </c>
      <c r="B30" s="3">
        <v>560</v>
      </c>
      <c r="C30" s="3">
        <v>563.4</v>
      </c>
      <c r="D30" s="3">
        <v>550.20000000000005</v>
      </c>
      <c r="E30" s="3">
        <v>569.79999999999995</v>
      </c>
      <c r="F30" s="3">
        <v>13.7</v>
      </c>
      <c r="G30" s="3">
        <v>14.45</v>
      </c>
      <c r="H30" s="3">
        <v>531.85</v>
      </c>
      <c r="I30" s="3">
        <v>22.79</v>
      </c>
      <c r="J30" s="3">
        <v>18.2</v>
      </c>
      <c r="K30" s="3">
        <v>18.649999999999999</v>
      </c>
      <c r="L30" s="3">
        <v>523.15</v>
      </c>
      <c r="M30" s="3">
        <v>29.59</v>
      </c>
      <c r="N30" s="3">
        <v>21.4</v>
      </c>
      <c r="O30" s="3">
        <v>22.55</v>
      </c>
      <c r="P30" s="3">
        <v>516.04999999999995</v>
      </c>
      <c r="Q30" s="3">
        <v>35.06</v>
      </c>
      <c r="R30" s="3">
        <v>26.7</v>
      </c>
      <c r="S30" s="3">
        <v>28.2</v>
      </c>
      <c r="T30" s="3">
        <v>505.15</v>
      </c>
      <c r="U30" s="3">
        <v>43.32</v>
      </c>
      <c r="V30" s="3">
        <v>33.200000000000003</v>
      </c>
      <c r="W30" s="3">
        <v>35</v>
      </c>
      <c r="X30" s="3">
        <v>491.85</v>
      </c>
      <c r="Y30" s="3">
        <v>53.15</v>
      </c>
      <c r="Z30" s="3">
        <v>41.2</v>
      </c>
      <c r="AA30" s="3">
        <v>43.35</v>
      </c>
      <c r="AB30" s="3">
        <v>475.45</v>
      </c>
      <c r="AC30" s="3">
        <v>64.91</v>
      </c>
      <c r="AD30" s="3">
        <v>50.8</v>
      </c>
      <c r="AE30" s="3">
        <v>53.4</v>
      </c>
      <c r="AF30" s="3">
        <v>455.8</v>
      </c>
      <c r="AG30" s="3">
        <v>78.48</v>
      </c>
      <c r="AH30" s="3">
        <v>62.5</v>
      </c>
      <c r="AI30" s="3">
        <v>65.7</v>
      </c>
      <c r="AJ30" s="3">
        <v>431.8</v>
      </c>
      <c r="AK30" s="3">
        <v>94.27</v>
      </c>
    </row>
    <row r="31" spans="1:41" x14ac:dyDescent="0.3">
      <c r="A31" s="3">
        <v>630</v>
      </c>
      <c r="B31" s="3">
        <v>630</v>
      </c>
      <c r="C31" s="3">
        <v>633.79999999999995</v>
      </c>
      <c r="D31" s="3">
        <v>619</v>
      </c>
      <c r="E31" s="3">
        <v>641.1</v>
      </c>
      <c r="F31" s="3">
        <v>15.4</v>
      </c>
      <c r="G31" s="3">
        <v>16.25</v>
      </c>
      <c r="H31" s="3">
        <v>598.35</v>
      </c>
      <c r="I31" s="3">
        <v>28.82</v>
      </c>
      <c r="J31" s="3">
        <v>19.3</v>
      </c>
      <c r="K31" s="3">
        <v>20.350000000000001</v>
      </c>
      <c r="L31" s="3">
        <v>590.35</v>
      </c>
      <c r="M31" s="3">
        <v>35.869999999999997</v>
      </c>
      <c r="N31" s="3">
        <v>24.1</v>
      </c>
      <c r="O31" s="3">
        <v>25.4</v>
      </c>
      <c r="P31" s="3">
        <v>580.5</v>
      </c>
      <c r="Q31" s="3">
        <v>44.43</v>
      </c>
      <c r="R31" s="3">
        <v>30</v>
      </c>
      <c r="S31" s="3">
        <v>31.6</v>
      </c>
      <c r="T31" s="3">
        <v>568.45000000000005</v>
      </c>
      <c r="U31" s="3">
        <v>54.69</v>
      </c>
      <c r="V31" s="3">
        <v>37.4</v>
      </c>
      <c r="W31" s="3">
        <v>39.4</v>
      </c>
      <c r="X31" s="3">
        <v>553.25</v>
      </c>
      <c r="Y31" s="3">
        <v>67.33</v>
      </c>
      <c r="Z31" s="3">
        <v>46.3</v>
      </c>
      <c r="AA31" s="3">
        <v>48.7</v>
      </c>
      <c r="AB31" s="3">
        <v>535</v>
      </c>
      <c r="AC31" s="3">
        <v>82.06</v>
      </c>
      <c r="AD31" s="3">
        <v>57.2</v>
      </c>
      <c r="AE31" s="3">
        <v>60.15</v>
      </c>
      <c r="AF31" s="3">
        <v>512.65</v>
      </c>
      <c r="AG31" s="3">
        <v>99.42</v>
      </c>
      <c r="AH31" s="3">
        <v>70.3</v>
      </c>
      <c r="AI31" s="3">
        <v>73.900000000000006</v>
      </c>
      <c r="AJ31" s="3">
        <v>485.8</v>
      </c>
      <c r="AK31" s="3">
        <v>119.29</v>
      </c>
    </row>
    <row r="32" spans="1:41" x14ac:dyDescent="0.3">
      <c r="A32" s="3">
        <v>710</v>
      </c>
      <c r="B32" s="3">
        <v>710</v>
      </c>
      <c r="C32" s="3">
        <v>716.4</v>
      </c>
      <c r="D32" s="3" t="s">
        <v>10</v>
      </c>
      <c r="E32" s="3" t="s">
        <v>10</v>
      </c>
      <c r="F32" s="3">
        <v>17.399999999999999</v>
      </c>
      <c r="G32" s="3">
        <v>18.350000000000001</v>
      </c>
      <c r="H32" s="3">
        <v>674.25</v>
      </c>
      <c r="I32" s="3">
        <v>36.69</v>
      </c>
      <c r="J32" s="3">
        <v>21.8</v>
      </c>
      <c r="K32" s="3">
        <v>22.95</v>
      </c>
      <c r="L32" s="3">
        <v>665.25</v>
      </c>
      <c r="M32" s="3">
        <v>45.63</v>
      </c>
      <c r="N32" s="3">
        <v>27.2</v>
      </c>
      <c r="O32" s="3">
        <v>28.65</v>
      </c>
      <c r="P32" s="3">
        <v>654.15</v>
      </c>
      <c r="Q32" s="3">
        <v>56.49</v>
      </c>
      <c r="R32" s="3">
        <v>33.9</v>
      </c>
      <c r="S32" s="3">
        <v>35.700000000000003</v>
      </c>
      <c r="T32" s="3">
        <v>640.45000000000005</v>
      </c>
      <c r="U32" s="3">
        <v>69.64</v>
      </c>
      <c r="V32" s="3">
        <v>42.1</v>
      </c>
      <c r="W32" s="3">
        <v>44.3</v>
      </c>
      <c r="X32" s="3">
        <v>623.6</v>
      </c>
      <c r="Y32" s="3">
        <v>85.43</v>
      </c>
      <c r="Z32" s="3">
        <v>52.2</v>
      </c>
      <c r="AA32" s="3">
        <v>54.9</v>
      </c>
      <c r="AB32" s="3">
        <v>602.9</v>
      </c>
      <c r="AC32" s="3">
        <v>104.25</v>
      </c>
      <c r="AD32" s="3">
        <v>64.5</v>
      </c>
      <c r="AE32" s="3">
        <v>67.8</v>
      </c>
      <c r="AF32" s="3">
        <v>577.70000000000005</v>
      </c>
      <c r="AG32" s="3">
        <v>126.31</v>
      </c>
      <c r="AH32" s="3">
        <v>79.3</v>
      </c>
      <c r="AI32" s="3">
        <v>83.35</v>
      </c>
      <c r="AJ32" s="3">
        <v>547.35</v>
      </c>
      <c r="AK32" s="3">
        <v>151.63</v>
      </c>
    </row>
    <row r="33" spans="1:37" x14ac:dyDescent="0.3">
      <c r="A33" s="3">
        <v>800</v>
      </c>
      <c r="B33" s="3">
        <v>800</v>
      </c>
      <c r="C33" s="3">
        <v>807.2</v>
      </c>
      <c r="D33" s="3" t="s">
        <v>10</v>
      </c>
      <c r="E33" s="3" t="s">
        <v>10</v>
      </c>
      <c r="F33" s="3">
        <v>19.600000000000001</v>
      </c>
      <c r="G33" s="3">
        <v>20.65</v>
      </c>
      <c r="H33" s="3">
        <v>759.75</v>
      </c>
      <c r="I33" s="3">
        <v>46.55</v>
      </c>
      <c r="J33" s="3">
        <v>24.5</v>
      </c>
      <c r="K33" s="3">
        <v>25.8</v>
      </c>
      <c r="L33" s="3">
        <v>749.7</v>
      </c>
      <c r="M33" s="3">
        <v>57.79</v>
      </c>
      <c r="N33" s="3">
        <v>30.6</v>
      </c>
      <c r="O33" s="3">
        <v>32.200000000000003</v>
      </c>
      <c r="P33" s="3">
        <v>737.2</v>
      </c>
      <c r="Q33" s="3">
        <v>71.569999999999993</v>
      </c>
      <c r="R33" s="3">
        <v>38.1</v>
      </c>
      <c r="S33" s="3">
        <v>40.1</v>
      </c>
      <c r="T33" s="3">
        <v>721.8</v>
      </c>
      <c r="U33" s="3">
        <v>88.23</v>
      </c>
      <c r="V33" s="3">
        <v>47.4</v>
      </c>
      <c r="W33" s="3">
        <v>49.9</v>
      </c>
      <c r="X33" s="3">
        <v>702.75</v>
      </c>
      <c r="Y33" s="3">
        <v>108.35</v>
      </c>
      <c r="Z33" s="3">
        <v>58.8</v>
      </c>
      <c r="AA33" s="3">
        <v>61.8</v>
      </c>
      <c r="AB33" s="3">
        <v>679.4</v>
      </c>
      <c r="AC33" s="3">
        <v>132.28</v>
      </c>
      <c r="AD33" s="3">
        <v>72.599999999999994</v>
      </c>
      <c r="AE33" s="3">
        <v>76.3</v>
      </c>
      <c r="AF33" s="3">
        <v>651.1</v>
      </c>
      <c r="AG33" s="3">
        <v>160.19999999999999</v>
      </c>
      <c r="AH33" s="3">
        <v>89.3</v>
      </c>
      <c r="AI33" s="3">
        <v>93.85</v>
      </c>
      <c r="AJ33" s="3">
        <v>616.85</v>
      </c>
      <c r="AK33" s="3">
        <v>192.39</v>
      </c>
    </row>
    <row r="34" spans="1:37" x14ac:dyDescent="0.3">
      <c r="A34" s="3">
        <v>900</v>
      </c>
      <c r="B34" s="3">
        <v>900</v>
      </c>
      <c r="C34" s="3">
        <v>908.1</v>
      </c>
      <c r="D34" s="3" t="s">
        <v>10</v>
      </c>
      <c r="E34" s="3" t="s">
        <v>10</v>
      </c>
      <c r="F34" s="3">
        <v>22</v>
      </c>
      <c r="G34" s="3">
        <v>23.15</v>
      </c>
      <c r="H34" s="3">
        <v>854.85</v>
      </c>
      <c r="I34" s="3">
        <v>58.74</v>
      </c>
      <c r="J34" s="3">
        <v>27.6</v>
      </c>
      <c r="K34" s="3">
        <v>29.05</v>
      </c>
      <c r="L34" s="3">
        <v>843.35</v>
      </c>
      <c r="M34" s="3">
        <v>73.22</v>
      </c>
      <c r="N34" s="3">
        <v>34.4</v>
      </c>
      <c r="O34" s="3">
        <v>36.35</v>
      </c>
      <c r="P34" s="3">
        <v>829.25</v>
      </c>
      <c r="Q34" s="3">
        <v>90.71</v>
      </c>
      <c r="R34" s="3">
        <v>42.9</v>
      </c>
      <c r="S34" s="3">
        <v>45.1</v>
      </c>
      <c r="T34" s="3">
        <v>812</v>
      </c>
      <c r="U34" s="3">
        <v>111.7</v>
      </c>
      <c r="V34" s="3">
        <v>53.3</v>
      </c>
      <c r="W34" s="3">
        <v>56.1</v>
      </c>
      <c r="X34" s="3">
        <v>790.65</v>
      </c>
      <c r="Y34" s="3">
        <v>137.07</v>
      </c>
      <c r="Z34" s="3">
        <v>66.2</v>
      </c>
      <c r="AA34" s="3">
        <v>69.599999999999994</v>
      </c>
      <c r="AB34" s="3">
        <v>764.2</v>
      </c>
      <c r="AC34" s="3">
        <v>167.56</v>
      </c>
      <c r="AD34" s="3">
        <v>81.7</v>
      </c>
      <c r="AE34" s="3">
        <v>85.85</v>
      </c>
      <c r="AF34" s="3">
        <v>732.45</v>
      </c>
      <c r="AG34" s="3">
        <v>202.79</v>
      </c>
    </row>
    <row r="35" spans="1:37" x14ac:dyDescent="0.3">
      <c r="A35" s="3">
        <v>1000</v>
      </c>
      <c r="B35" s="3">
        <v>1000</v>
      </c>
      <c r="C35" s="3">
        <v>1009</v>
      </c>
      <c r="D35" s="3" t="s">
        <v>10</v>
      </c>
      <c r="E35" s="3" t="s">
        <v>10</v>
      </c>
      <c r="F35" s="3">
        <v>24.5</v>
      </c>
      <c r="G35" s="3">
        <v>25.8</v>
      </c>
      <c r="H35" s="3">
        <v>949.7</v>
      </c>
      <c r="I35" s="3">
        <v>72.709999999999994</v>
      </c>
      <c r="J35" s="3">
        <v>30.6</v>
      </c>
      <c r="K35" s="3">
        <v>32.049999999999997</v>
      </c>
      <c r="L35" s="3">
        <v>937.35</v>
      </c>
      <c r="M35" s="3">
        <v>89.99</v>
      </c>
      <c r="N35" s="3">
        <v>38.200000000000003</v>
      </c>
      <c r="O35" s="3">
        <v>40.200000000000003</v>
      </c>
      <c r="P35" s="3">
        <v>921.6</v>
      </c>
      <c r="Q35" s="3">
        <v>111.7</v>
      </c>
      <c r="R35" s="3">
        <v>47.7</v>
      </c>
      <c r="S35" s="3">
        <v>50.2</v>
      </c>
      <c r="T35" s="3">
        <v>902.15</v>
      </c>
      <c r="U35" s="3">
        <v>138</v>
      </c>
      <c r="V35" s="3">
        <v>59.3</v>
      </c>
      <c r="W35" s="3">
        <v>62.4</v>
      </c>
      <c r="X35" s="3">
        <v>878.35</v>
      </c>
      <c r="Y35" s="3">
        <v>169.41</v>
      </c>
      <c r="Z35" s="3">
        <v>72.5</v>
      </c>
      <c r="AA35" s="3">
        <v>76.2</v>
      </c>
      <c r="AB35" s="3">
        <v>851.3</v>
      </c>
      <c r="AC35" s="3">
        <v>204.1</v>
      </c>
      <c r="AD35" s="3">
        <v>90.2</v>
      </c>
      <c r="AE35" s="3">
        <v>94.8</v>
      </c>
      <c r="AF35" s="3">
        <v>815</v>
      </c>
      <c r="AG35" s="3">
        <v>248.95</v>
      </c>
    </row>
    <row r="38" spans="1:37" x14ac:dyDescent="0.3">
      <c r="F38" s="3">
        <v>41</v>
      </c>
    </row>
    <row r="39" spans="1:37" x14ac:dyDescent="0.3">
      <c r="A39" s="7"/>
      <c r="F39" s="3">
        <v>250</v>
      </c>
    </row>
    <row r="41" spans="1:37" x14ac:dyDescent="0.3">
      <c r="F41" s="3">
        <f>INDEX(A5:F35, MATCH(F39,A5:A35,0),MATCH(F38,A5:F5,0))</f>
        <v>6.1</v>
      </c>
    </row>
  </sheetData>
  <mergeCells count="1">
    <mergeCell ref="A1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HDPE size chart (2)</vt:lpstr>
      <vt:lpstr>HDPE size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Anandraj Israel</dc:creator>
  <cp:lastModifiedBy>Charan Kumar</cp:lastModifiedBy>
  <dcterms:created xsi:type="dcterms:W3CDTF">2015-06-05T18:17:20Z</dcterms:created>
  <dcterms:modified xsi:type="dcterms:W3CDTF">2026-05-19T04:29:43Z</dcterms:modified>
</cp:coreProperties>
</file>